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tpal\OneDrive\Desktop\"/>
    </mc:Choice>
  </mc:AlternateContent>
  <xr:revisionPtr revIDLastSave="0" documentId="13_ncr:1_{AD1DD0DE-8249-4AE3-97D8-D3CFED0E170D}" xr6:coauthVersionLast="47" xr6:coauthVersionMax="47" xr10:uidLastSave="{00000000-0000-0000-0000-000000000000}"/>
  <bookViews>
    <workbookView xWindow="28680" yWindow="-120" windowWidth="29040" windowHeight="16440" firstSheet="3" activeTab="8" xr2:uid="{00000000-000D-0000-FFFF-FFFF00000000}"/>
  </bookViews>
  <sheets>
    <sheet name="Index" sheetId="1" r:id="rId1"/>
    <sheet name="P&amp;L Source" sheetId="2" r:id="rId2"/>
    <sheet name="BS source" sheetId="3" r:id="rId3"/>
    <sheet name="P&amp;L assumptions" sheetId="4" r:id="rId4"/>
    <sheet name="BS assumptions" sheetId="5" r:id="rId5"/>
    <sheet name="P&amp;L " sheetId="6" r:id="rId6"/>
    <sheet name="BS" sheetId="7" r:id="rId7"/>
    <sheet name="Cash Flow" sheetId="8" r:id="rId8"/>
    <sheet name="DCF Valuation 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xsFsR3gA19HpKi6BysjRvJoMTyhBOOFnVGqMC7hHub0="/>
    </ext>
  </extLst>
</workbook>
</file>

<file path=xl/calcChain.xml><?xml version="1.0" encoding="utf-8"?>
<calcChain xmlns="http://schemas.openxmlformats.org/spreadsheetml/2006/main">
  <c r="F25" i="8" l="1"/>
  <c r="E25" i="8"/>
  <c r="F24" i="8"/>
  <c r="F23" i="8"/>
  <c r="G15" i="8"/>
  <c r="F21" i="8"/>
  <c r="G21" i="8"/>
  <c r="H21" i="8"/>
  <c r="I21" i="8"/>
  <c r="J21" i="8"/>
  <c r="K21" i="8"/>
  <c r="G19" i="8"/>
  <c r="E19" i="8"/>
  <c r="F19" i="8"/>
  <c r="H19" i="8"/>
  <c r="I19" i="8"/>
  <c r="J19" i="8"/>
  <c r="K19" i="8"/>
  <c r="F17" i="8"/>
  <c r="G10" i="8"/>
  <c r="G14" i="8"/>
  <c r="E15" i="8"/>
  <c r="F15" i="8"/>
  <c r="H15" i="8"/>
  <c r="I15" i="8"/>
  <c r="J15" i="8"/>
  <c r="K15" i="8"/>
  <c r="F8" i="8"/>
  <c r="F6" i="8"/>
  <c r="G6" i="8"/>
  <c r="H6" i="8"/>
  <c r="I6" i="8"/>
  <c r="J6" i="8"/>
  <c r="K6" i="8"/>
  <c r="F5" i="8"/>
  <c r="F4" i="8"/>
  <c r="E10" i="8"/>
  <c r="E14" i="8" s="1"/>
  <c r="F10" i="8"/>
  <c r="H10" i="8"/>
  <c r="I10" i="8"/>
  <c r="J10" i="8"/>
  <c r="K10" i="8"/>
  <c r="G11" i="8"/>
  <c r="E11" i="8"/>
  <c r="F11" i="8"/>
  <c r="H11" i="8"/>
  <c r="I11" i="8"/>
  <c r="J11" i="8"/>
  <c r="K11" i="8"/>
  <c r="G12" i="8"/>
  <c r="E12" i="8"/>
  <c r="F12" i="8"/>
  <c r="H12" i="8"/>
  <c r="H14" i="8" s="1"/>
  <c r="I12" i="8"/>
  <c r="I14" i="8" s="1"/>
  <c r="J12" i="8"/>
  <c r="J14" i="8" s="1"/>
  <c r="K12" i="8"/>
  <c r="K14" i="8" s="1"/>
  <c r="D25" i="8"/>
  <c r="E29" i="8"/>
  <c r="G29" i="8"/>
  <c r="C25" i="7"/>
  <c r="D19" i="8"/>
  <c r="D15" i="8"/>
  <c r="D12" i="8"/>
  <c r="D11" i="8"/>
  <c r="D10" i="8"/>
  <c r="H19" i="7"/>
  <c r="I19" i="7"/>
  <c r="J19" i="7"/>
  <c r="K19" i="7"/>
  <c r="G19" i="7"/>
  <c r="H6" i="7"/>
  <c r="I6" i="7"/>
  <c r="J6" i="7"/>
  <c r="K6" i="7"/>
  <c r="G6" i="7"/>
  <c r="K4" i="7"/>
  <c r="J4" i="7"/>
  <c r="I4" i="7"/>
  <c r="H4" i="7"/>
  <c r="G4" i="7"/>
  <c r="E4" i="7"/>
  <c r="E17" i="7"/>
  <c r="D17" i="7"/>
  <c r="C17" i="7"/>
  <c r="E16" i="7"/>
  <c r="D16" i="7"/>
  <c r="C16" i="7"/>
  <c r="E10" i="7"/>
  <c r="D10" i="7"/>
  <c r="C10" i="7"/>
  <c r="E9" i="7"/>
  <c r="D9" i="7"/>
  <c r="C9" i="7"/>
  <c r="E8" i="7"/>
  <c r="D8" i="7"/>
  <c r="C8" i="7"/>
  <c r="D5" i="7"/>
  <c r="E5" i="7"/>
  <c r="H16" i="6"/>
  <c r="I16" i="6"/>
  <c r="J16" i="6"/>
  <c r="K16" i="6"/>
  <c r="G16" i="6"/>
  <c r="E5" i="6"/>
  <c r="D5" i="6"/>
  <c r="C5" i="6"/>
  <c r="E17" i="6"/>
  <c r="D17" i="6"/>
  <c r="C17" i="6"/>
  <c r="G13" i="6"/>
  <c r="G23" i="8" s="1"/>
  <c r="E14" i="6"/>
  <c r="E21" i="8" s="1"/>
  <c r="D14" i="6"/>
  <c r="D21" i="8" s="1"/>
  <c r="C14" i="6"/>
  <c r="E13" i="6"/>
  <c r="E23" i="8" s="1"/>
  <c r="D13" i="6"/>
  <c r="D23" i="8" s="1"/>
  <c r="C13" i="6"/>
  <c r="E11" i="6"/>
  <c r="D11" i="6"/>
  <c r="C11" i="6"/>
  <c r="E9" i="6"/>
  <c r="D9" i="6"/>
  <c r="C9" i="6"/>
  <c r="E7" i="6"/>
  <c r="D7" i="6"/>
  <c r="C7" i="6"/>
  <c r="G5" i="6"/>
  <c r="E4" i="6"/>
  <c r="D4" i="6"/>
  <c r="C4" i="6"/>
  <c r="C15" i="4"/>
  <c r="K21" i="5"/>
  <c r="J21" i="5"/>
  <c r="I21" i="5"/>
  <c r="H21" i="5"/>
  <c r="G21" i="5"/>
  <c r="K18" i="5"/>
  <c r="J18" i="5"/>
  <c r="I18" i="5"/>
  <c r="H18" i="5"/>
  <c r="G18" i="5"/>
  <c r="K15" i="5"/>
  <c r="J15" i="5"/>
  <c r="I15" i="5"/>
  <c r="H15" i="5"/>
  <c r="G15" i="5"/>
  <c r="K12" i="5"/>
  <c r="J12" i="5"/>
  <c r="I12" i="5"/>
  <c r="H12" i="5"/>
  <c r="G12" i="5"/>
  <c r="K9" i="5"/>
  <c r="J9" i="5"/>
  <c r="I9" i="5"/>
  <c r="H9" i="5"/>
  <c r="G9" i="5"/>
  <c r="K6" i="5"/>
  <c r="J6" i="5"/>
  <c r="I6" i="5"/>
  <c r="H6" i="5"/>
  <c r="G6" i="5"/>
  <c r="E51" i="4"/>
  <c r="E52" i="4" s="1"/>
  <c r="D51" i="4"/>
  <c r="D52" i="4" s="1"/>
  <c r="E45" i="4"/>
  <c r="E46" i="4" s="1"/>
  <c r="D45" i="4"/>
  <c r="D46" i="4" s="1"/>
  <c r="E39" i="4"/>
  <c r="D39" i="4"/>
  <c r="E33" i="4"/>
  <c r="E34" i="4" s="1"/>
  <c r="D33" i="4"/>
  <c r="D34" i="4" s="1"/>
  <c r="E27" i="4"/>
  <c r="E28" i="4" s="1"/>
  <c r="D27" i="4"/>
  <c r="D28" i="4" s="1"/>
  <c r="E21" i="4"/>
  <c r="E22" i="4" s="1"/>
  <c r="D21" i="4"/>
  <c r="D22" i="4" s="1"/>
  <c r="E15" i="4"/>
  <c r="D15" i="4"/>
  <c r="E9" i="4"/>
  <c r="E10" i="4" s="1"/>
  <c r="D9" i="4"/>
  <c r="D10" i="4" s="1"/>
  <c r="G21" i="9"/>
  <c r="E19" i="9"/>
  <c r="K10" i="9"/>
  <c r="J10" i="9"/>
  <c r="I10" i="9"/>
  <c r="H10" i="9"/>
  <c r="G10" i="9"/>
  <c r="F8" i="9"/>
  <c r="E19" i="7"/>
  <c r="D19" i="7"/>
  <c r="C19" i="7"/>
  <c r="E12" i="7"/>
  <c r="D12" i="7"/>
  <c r="C12" i="7"/>
  <c r="D29" i="8" s="1"/>
  <c r="E6" i="7"/>
  <c r="D6" i="7"/>
  <c r="C6" i="7"/>
  <c r="D4" i="7"/>
  <c r="C4" i="7"/>
  <c r="E20" i="5"/>
  <c r="D20" i="5"/>
  <c r="C20" i="5"/>
  <c r="E17" i="5"/>
  <c r="D17" i="5"/>
  <c r="C17" i="5"/>
  <c r="E14" i="5"/>
  <c r="D14" i="5"/>
  <c r="C14" i="5"/>
  <c r="E11" i="5"/>
  <c r="D11" i="5"/>
  <c r="C11" i="5"/>
  <c r="E8" i="5"/>
  <c r="D8" i="5"/>
  <c r="C8" i="5"/>
  <c r="E5" i="5"/>
  <c r="D5" i="5"/>
  <c r="C5" i="5"/>
  <c r="K52" i="4"/>
  <c r="J52" i="4"/>
  <c r="I52" i="4"/>
  <c r="H52" i="4"/>
  <c r="G52" i="4"/>
  <c r="C51" i="4"/>
  <c r="K46" i="4"/>
  <c r="J46" i="4"/>
  <c r="I46" i="4"/>
  <c r="H46" i="4"/>
  <c r="G46" i="4"/>
  <c r="G45" i="4"/>
  <c r="C45" i="4"/>
  <c r="K40" i="4"/>
  <c r="J40" i="4"/>
  <c r="I40" i="4"/>
  <c r="H40" i="4"/>
  <c r="G40" i="4"/>
  <c r="C39" i="4"/>
  <c r="K34" i="4"/>
  <c r="J34" i="4"/>
  <c r="I34" i="4"/>
  <c r="H34" i="4"/>
  <c r="G34" i="4"/>
  <c r="C33" i="4"/>
  <c r="K28" i="4"/>
  <c r="J28" i="4"/>
  <c r="I28" i="4"/>
  <c r="H28" i="4"/>
  <c r="G28" i="4"/>
  <c r="C27" i="4"/>
  <c r="K22" i="4"/>
  <c r="J22" i="4"/>
  <c r="I22" i="4"/>
  <c r="H22" i="4"/>
  <c r="G22" i="4"/>
  <c r="C21" i="4"/>
  <c r="K16" i="4"/>
  <c r="J16" i="4"/>
  <c r="I16" i="4"/>
  <c r="H16" i="4"/>
  <c r="G16" i="4"/>
  <c r="K10" i="4"/>
  <c r="J10" i="4"/>
  <c r="I10" i="4"/>
  <c r="H10" i="4"/>
  <c r="G10" i="4"/>
  <c r="C9" i="4"/>
  <c r="L17" i="3"/>
  <c r="L19" i="3" s="1"/>
  <c r="K17" i="3"/>
  <c r="K19" i="3" s="1"/>
  <c r="J17" i="3"/>
  <c r="J19" i="3" s="1"/>
  <c r="F15" i="3"/>
  <c r="F19" i="3" s="1"/>
  <c r="E15" i="3"/>
  <c r="E19" i="3" s="1"/>
  <c r="D15" i="3"/>
  <c r="D19" i="3" s="1"/>
  <c r="L8" i="3"/>
  <c r="E21" i="7" s="1"/>
  <c r="K8" i="3"/>
  <c r="D21" i="7" s="1"/>
  <c r="J8" i="3"/>
  <c r="C21" i="7" s="1"/>
  <c r="F8" i="3"/>
  <c r="E8" i="3"/>
  <c r="D8" i="3"/>
  <c r="F6" i="2"/>
  <c r="F14" i="2" s="1"/>
  <c r="F18" i="2" s="1"/>
  <c r="F23" i="2" s="1"/>
  <c r="F27" i="2" s="1"/>
  <c r="E6" i="2"/>
  <c r="E14" i="2" s="1"/>
  <c r="E18" i="2" s="1"/>
  <c r="E23" i="2" s="1"/>
  <c r="E27" i="2" s="1"/>
  <c r="D6" i="2"/>
  <c r="D14" i="2" s="1"/>
  <c r="D18" i="2" s="1"/>
  <c r="D23" i="2" s="1"/>
  <c r="D27" i="2" s="1"/>
  <c r="B6" i="1"/>
  <c r="B7" i="1" s="1"/>
  <c r="B8" i="1" s="1"/>
  <c r="B9" i="1" s="1"/>
  <c r="B10" i="1" s="1"/>
  <c r="B11" i="1" s="1"/>
  <c r="B12" i="1" s="1"/>
  <c r="E8" i="8" l="1"/>
  <c r="E17" i="8"/>
  <c r="D8" i="8"/>
  <c r="D17" i="8"/>
  <c r="E6" i="6"/>
  <c r="E8" i="6" s="1"/>
  <c r="E10" i="6" s="1"/>
  <c r="E12" i="6" s="1"/>
  <c r="E4" i="8" s="1"/>
  <c r="D6" i="6"/>
  <c r="D8" i="6" s="1"/>
  <c r="D10" i="6" s="1"/>
  <c r="D12" i="6" s="1"/>
  <c r="C6" i="6"/>
  <c r="C8" i="6" s="1"/>
  <c r="C10" i="6" s="1"/>
  <c r="C12" i="6" s="1"/>
  <c r="C15" i="6" s="1"/>
  <c r="E20" i="9"/>
  <c r="E21" i="5"/>
  <c r="D21" i="5"/>
  <c r="C21" i="5"/>
  <c r="E18" i="5"/>
  <c r="D18" i="5"/>
  <c r="C18" i="5"/>
  <c r="E15" i="5"/>
  <c r="D15" i="5"/>
  <c r="C15" i="5"/>
  <c r="C5" i="7"/>
  <c r="E12" i="5"/>
  <c r="D12" i="5"/>
  <c r="C23" i="7"/>
  <c r="C12" i="5"/>
  <c r="E9" i="5"/>
  <c r="D9" i="5"/>
  <c r="C9" i="5"/>
  <c r="E6" i="5"/>
  <c r="D6" i="5"/>
  <c r="C6" i="5"/>
  <c r="C52" i="4"/>
  <c r="H45" i="4"/>
  <c r="G39" i="4"/>
  <c r="H39" i="4" s="1"/>
  <c r="C34" i="4"/>
  <c r="C28" i="4"/>
  <c r="C22" i="4"/>
  <c r="G15" i="4"/>
  <c r="H15" i="4" s="1"/>
  <c r="G9" i="4"/>
  <c r="E15" i="6" l="1"/>
  <c r="D15" i="6"/>
  <c r="D4" i="8"/>
  <c r="I39" i="4"/>
  <c r="H13" i="6"/>
  <c r="H23" i="8" s="1"/>
  <c r="I15" i="4"/>
  <c r="H5" i="6"/>
  <c r="G5" i="5"/>
  <c r="G9" i="7" s="1"/>
  <c r="G4" i="6"/>
  <c r="G6" i="6" s="1"/>
  <c r="G20" i="5"/>
  <c r="G17" i="7" s="1"/>
  <c r="G17" i="5"/>
  <c r="G10" i="7" s="1"/>
  <c r="G14" i="5"/>
  <c r="G5" i="7" s="1"/>
  <c r="C18" i="6"/>
  <c r="C16" i="6"/>
  <c r="D14" i="7"/>
  <c r="E14" i="7"/>
  <c r="E23" i="7"/>
  <c r="D23" i="7"/>
  <c r="I45" i="4"/>
  <c r="G21" i="4"/>
  <c r="H9" i="4"/>
  <c r="G33" i="4"/>
  <c r="G11" i="6" s="1"/>
  <c r="G17" i="8" s="1"/>
  <c r="G27" i="4"/>
  <c r="G9" i="6" s="1"/>
  <c r="C14" i="7"/>
  <c r="G8" i="8" l="1"/>
  <c r="E18" i="6"/>
  <c r="E26" i="8" s="1"/>
  <c r="E16" i="6"/>
  <c r="E6" i="8" s="1"/>
  <c r="E5" i="8" s="1"/>
  <c r="D16" i="6"/>
  <c r="D6" i="8" s="1"/>
  <c r="D5" i="8" s="1"/>
  <c r="D24" i="8" s="1"/>
  <c r="D18" i="6"/>
  <c r="D26" i="8" s="1"/>
  <c r="I13" i="6"/>
  <c r="I23" i="8" s="1"/>
  <c r="J39" i="4"/>
  <c r="I5" i="6"/>
  <c r="J15" i="4"/>
  <c r="G7" i="6"/>
  <c r="G8" i="6" s="1"/>
  <c r="G10" i="6" s="1"/>
  <c r="G12" i="6" s="1"/>
  <c r="G4" i="8" s="1"/>
  <c r="G5" i="8" s="1"/>
  <c r="G7" i="8" s="1"/>
  <c r="G9" i="8" s="1"/>
  <c r="G22" i="8" s="1"/>
  <c r="G11" i="5"/>
  <c r="G16" i="7" s="1"/>
  <c r="G8" i="5"/>
  <c r="G8" i="7" s="1"/>
  <c r="H5" i="5"/>
  <c r="H9" i="7" s="1"/>
  <c r="H4" i="6"/>
  <c r="H6" i="6" s="1"/>
  <c r="H20" i="5"/>
  <c r="H17" i="7" s="1"/>
  <c r="H17" i="5"/>
  <c r="H10" i="7" s="1"/>
  <c r="H14" i="5"/>
  <c r="H5" i="7" s="1"/>
  <c r="E25" i="7"/>
  <c r="D25" i="7"/>
  <c r="J45" i="4"/>
  <c r="H27" i="4"/>
  <c r="H9" i="6" s="1"/>
  <c r="I9" i="4"/>
  <c r="H21" i="4"/>
  <c r="H33" i="4"/>
  <c r="H11" i="6" s="1"/>
  <c r="D14" i="8"/>
  <c r="E7" i="8" l="1"/>
  <c r="E9" i="8" s="1"/>
  <c r="E22" i="8" s="1"/>
  <c r="E24" i="8"/>
  <c r="H8" i="8"/>
  <c r="H17" i="8"/>
  <c r="G15" i="6"/>
  <c r="G17" i="6" s="1"/>
  <c r="J13" i="6"/>
  <c r="J23" i="8" s="1"/>
  <c r="K39" i="4"/>
  <c r="K13" i="6" s="1"/>
  <c r="K23" i="8" s="1"/>
  <c r="J5" i="6"/>
  <c r="K15" i="4"/>
  <c r="K5" i="6" s="1"/>
  <c r="I5" i="5"/>
  <c r="I9" i="7" s="1"/>
  <c r="I4" i="6"/>
  <c r="I6" i="6" s="1"/>
  <c r="I20" i="5"/>
  <c r="I17" i="7" s="1"/>
  <c r="I17" i="5"/>
  <c r="I10" i="7" s="1"/>
  <c r="I14" i="5"/>
  <c r="I5" i="7" s="1"/>
  <c r="H7" i="6"/>
  <c r="H8" i="6" s="1"/>
  <c r="H10" i="6" s="1"/>
  <c r="H12" i="6" s="1"/>
  <c r="H11" i="5"/>
  <c r="H16" i="7" s="1"/>
  <c r="H8" i="5"/>
  <c r="H8" i="7" s="1"/>
  <c r="K45" i="4"/>
  <c r="J9" i="4"/>
  <c r="I27" i="4"/>
  <c r="I9" i="6" s="1"/>
  <c r="I33" i="4"/>
  <c r="I11" i="6" s="1"/>
  <c r="I21" i="4"/>
  <c r="D7" i="8"/>
  <c r="D9" i="8" s="1"/>
  <c r="D22" i="8" s="1"/>
  <c r="D27" i="8" s="1"/>
  <c r="E27" i="8" l="1"/>
  <c r="E30" i="8" s="1"/>
  <c r="E32" i="8" s="1"/>
  <c r="G18" i="6"/>
  <c r="G21" i="7" s="1"/>
  <c r="G23" i="7" s="1"/>
  <c r="G24" i="8"/>
  <c r="G27" i="8" s="1"/>
  <c r="I8" i="8"/>
  <c r="I17" i="8"/>
  <c r="H15" i="6"/>
  <c r="H17" i="6" s="1"/>
  <c r="H4" i="8"/>
  <c r="H5" i="8" s="1"/>
  <c r="H7" i="8" s="1"/>
  <c r="H9" i="8" s="1"/>
  <c r="H22" i="8" s="1"/>
  <c r="J5" i="5"/>
  <c r="J9" i="7" s="1"/>
  <c r="J4" i="6"/>
  <c r="J6" i="6" s="1"/>
  <c r="J20" i="5"/>
  <c r="J17" i="7" s="1"/>
  <c r="J17" i="5"/>
  <c r="J10" i="7" s="1"/>
  <c r="J14" i="5"/>
  <c r="J5" i="7" s="1"/>
  <c r="I11" i="5"/>
  <c r="I16" i="7" s="1"/>
  <c r="I8" i="5"/>
  <c r="I8" i="7" s="1"/>
  <c r="I7" i="6"/>
  <c r="I8" i="6" s="1"/>
  <c r="I10" i="6" s="1"/>
  <c r="I12" i="6" s="1"/>
  <c r="J21" i="4"/>
  <c r="J27" i="4"/>
  <c r="J9" i="6" s="1"/>
  <c r="J33" i="4"/>
  <c r="J11" i="6" s="1"/>
  <c r="K9" i="4"/>
  <c r="D8" i="9"/>
  <c r="D30" i="8"/>
  <c r="D32" i="8" s="1"/>
  <c r="G30" i="8" l="1"/>
  <c r="G12" i="7"/>
  <c r="H18" i="6"/>
  <c r="H21" i="7" s="1"/>
  <c r="H23" i="7" s="1"/>
  <c r="H24" i="8"/>
  <c r="H27" i="8" s="1"/>
  <c r="J8" i="8"/>
  <c r="J17" i="8"/>
  <c r="H8" i="9"/>
  <c r="H11" i="9" s="1"/>
  <c r="I15" i="6"/>
  <c r="I17" i="6" s="1"/>
  <c r="I4" i="8"/>
  <c r="I5" i="8" s="1"/>
  <c r="I7" i="8" s="1"/>
  <c r="I9" i="8" s="1"/>
  <c r="I22" i="8" s="1"/>
  <c r="J7" i="6"/>
  <c r="J8" i="6" s="1"/>
  <c r="J10" i="6" s="1"/>
  <c r="J12" i="6" s="1"/>
  <c r="J11" i="5"/>
  <c r="J16" i="7" s="1"/>
  <c r="J8" i="5"/>
  <c r="J8" i="7" s="1"/>
  <c r="K5" i="5"/>
  <c r="K9" i="7" s="1"/>
  <c r="K4" i="6"/>
  <c r="K6" i="6" s="1"/>
  <c r="K20" i="5"/>
  <c r="K17" i="7" s="1"/>
  <c r="K17" i="5"/>
  <c r="K10" i="7" s="1"/>
  <c r="K14" i="5"/>
  <c r="K5" i="7" s="1"/>
  <c r="K33" i="4"/>
  <c r="K11" i="6" s="1"/>
  <c r="K21" i="4"/>
  <c r="K27" i="4"/>
  <c r="K9" i="6" s="1"/>
  <c r="E8" i="9"/>
  <c r="H12" i="7" l="1"/>
  <c r="G32" i="8"/>
  <c r="H14" i="7"/>
  <c r="H25" i="7" s="1"/>
  <c r="I29" i="8"/>
  <c r="I18" i="6"/>
  <c r="I21" i="7" s="1"/>
  <c r="I23" i="7" s="1"/>
  <c r="I24" i="8"/>
  <c r="I27" i="8" s="1"/>
  <c r="K8" i="8"/>
  <c r="K17" i="8"/>
  <c r="I8" i="9"/>
  <c r="I11" i="9" s="1"/>
  <c r="J15" i="6"/>
  <c r="J17" i="6" s="1"/>
  <c r="J4" i="8"/>
  <c r="J5" i="8" s="1"/>
  <c r="J7" i="8" s="1"/>
  <c r="J9" i="8" s="1"/>
  <c r="J22" i="8" s="1"/>
  <c r="G8" i="9"/>
  <c r="G11" i="9" s="1"/>
  <c r="K7" i="6"/>
  <c r="K8" i="6" s="1"/>
  <c r="K10" i="6" s="1"/>
  <c r="K12" i="6" s="1"/>
  <c r="K11" i="5"/>
  <c r="K16" i="7" s="1"/>
  <c r="K8" i="5"/>
  <c r="K8" i="7" s="1"/>
  <c r="I12" i="7" l="1"/>
  <c r="I30" i="8"/>
  <c r="J18" i="6"/>
  <c r="J21" i="7" s="1"/>
  <c r="J23" i="7" s="1"/>
  <c r="J24" i="8"/>
  <c r="J27" i="8" s="1"/>
  <c r="J8" i="9"/>
  <c r="J11" i="9" s="1"/>
  <c r="K15" i="6"/>
  <c r="K17" i="6" s="1"/>
  <c r="K4" i="8"/>
  <c r="K5" i="8" s="1"/>
  <c r="K7" i="8" s="1"/>
  <c r="K9" i="8" s="1"/>
  <c r="K22" i="8" s="1"/>
  <c r="H29" i="8"/>
  <c r="J12" i="7" l="1"/>
  <c r="J29" i="8"/>
  <c r="J30" i="8" s="1"/>
  <c r="J32" i="8" s="1"/>
  <c r="I14" i="7"/>
  <c r="I25" i="7" s="1"/>
  <c r="I32" i="8"/>
  <c r="K18" i="6"/>
  <c r="K21" i="7" s="1"/>
  <c r="K23" i="7" s="1"/>
  <c r="K24" i="8"/>
  <c r="K27" i="8" s="1"/>
  <c r="K8" i="9"/>
  <c r="H30" i="8"/>
  <c r="H32" i="8" s="1"/>
  <c r="G14" i="7"/>
  <c r="G25" i="7" s="1"/>
  <c r="K29" i="8" l="1"/>
  <c r="J14" i="7"/>
  <c r="J25" i="7" s="1"/>
  <c r="K12" i="7"/>
  <c r="K30" i="8"/>
  <c r="K11" i="9"/>
  <c r="E15" i="9" s="1"/>
  <c r="E16" i="9"/>
  <c r="E17" i="9" s="1"/>
  <c r="K32" i="8" l="1"/>
  <c r="K14" i="7"/>
  <c r="K25" i="7" s="1"/>
  <c r="E18" i="9"/>
  <c r="E21" i="9" s="1"/>
</calcChain>
</file>

<file path=xl/sharedStrings.xml><?xml version="1.0" encoding="utf-8"?>
<sst xmlns="http://schemas.openxmlformats.org/spreadsheetml/2006/main" count="253" uniqueCount="143">
  <si>
    <t>DCF Valuation</t>
  </si>
  <si>
    <t>Sheet index</t>
  </si>
  <si>
    <t xml:space="preserve">#                </t>
  </si>
  <si>
    <t>Worksheet</t>
  </si>
  <si>
    <t>1.Input --&gt;</t>
  </si>
  <si>
    <t>P&amp;L assumptions</t>
  </si>
  <si>
    <t>BS assumptions</t>
  </si>
  <si>
    <t>2.Output --&gt;</t>
  </si>
  <si>
    <t>P&amp;L</t>
  </si>
  <si>
    <t>BS</t>
  </si>
  <si>
    <t>Cash Flow</t>
  </si>
  <si>
    <t>DCF valuation</t>
  </si>
  <si>
    <t>P&amp;L source</t>
  </si>
  <si>
    <t>USD in thousands</t>
  </si>
  <si>
    <t>2018
Act</t>
  </si>
  <si>
    <t>2019
Act</t>
  </si>
  <si>
    <t>2020
Act</t>
  </si>
  <si>
    <t>Revenue from sales and services</t>
  </si>
  <si>
    <t>Other revenue</t>
  </si>
  <si>
    <t>Revenue</t>
  </si>
  <si>
    <t>Raw materials</t>
  </si>
  <si>
    <t>Direct costs</t>
  </si>
  <si>
    <t>Cost for services</t>
  </si>
  <si>
    <t>Lease costs</t>
  </si>
  <si>
    <t>Other operating expenses</t>
  </si>
  <si>
    <t>EBITDA</t>
  </si>
  <si>
    <t>D&amp;A</t>
  </si>
  <si>
    <t>EBIT</t>
  </si>
  <si>
    <t>Financial income/expenses</t>
  </si>
  <si>
    <t>Extraordinary income</t>
  </si>
  <si>
    <t>EBT</t>
  </si>
  <si>
    <t>Taxes</t>
  </si>
  <si>
    <t>Net Income</t>
  </si>
  <si>
    <t>BS source</t>
  </si>
  <si>
    <t>31Dec18
Act</t>
  </si>
  <si>
    <t>31Dec19
Act</t>
  </si>
  <si>
    <t>31Dec20
Act</t>
  </si>
  <si>
    <t>Intangible assets</t>
  </si>
  <si>
    <t>Share Capital</t>
  </si>
  <si>
    <t>PP&amp;E</t>
  </si>
  <si>
    <t>Reserves</t>
  </si>
  <si>
    <t>Financial assets</t>
  </si>
  <si>
    <t>Retained earnings</t>
  </si>
  <si>
    <t>Profit/(loss) for the year</t>
  </si>
  <si>
    <t>Fixed assets</t>
  </si>
  <si>
    <t>Total Equity</t>
  </si>
  <si>
    <t>Inventory</t>
  </si>
  <si>
    <t>Trade payable</t>
  </si>
  <si>
    <t>Trade receivables</t>
  </si>
  <si>
    <t>Other liabilities</t>
  </si>
  <si>
    <t>Other assets</t>
  </si>
  <si>
    <t>Deferred taxes</t>
  </si>
  <si>
    <t>Provisions for retirement benefits</t>
  </si>
  <si>
    <t>Cash and equivalents</t>
  </si>
  <si>
    <t>Non fixed assets</t>
  </si>
  <si>
    <t>Bank borrowings</t>
  </si>
  <si>
    <t>Other Financial liabilities</t>
  </si>
  <si>
    <t>Total Liabilities</t>
  </si>
  <si>
    <t>Total Assets</t>
  </si>
  <si>
    <t>Total Liabilities &amp; Equity</t>
  </si>
  <si>
    <t>Scenarios:</t>
  </si>
  <si>
    <t>Case 1:</t>
  </si>
  <si>
    <t>Optimistic case</t>
  </si>
  <si>
    <t>Case 2:</t>
  </si>
  <si>
    <t>Base case</t>
  </si>
  <si>
    <t>Selected case</t>
  </si>
  <si>
    <t>Case 3:</t>
  </si>
  <si>
    <t>Worst case</t>
  </si>
  <si>
    <t>$ in thousands</t>
  </si>
  <si>
    <t>FY18
Actual</t>
  </si>
  <si>
    <t>FY19
Actual</t>
  </si>
  <si>
    <t>FY20
Actual</t>
  </si>
  <si>
    <t>FY21
Forecast</t>
  </si>
  <si>
    <t>FY22
Forecast</t>
  </si>
  <si>
    <t>FY23
Forecast</t>
  </si>
  <si>
    <t>FY24
Forecast</t>
  </si>
  <si>
    <t>FY25
Forecast</t>
  </si>
  <si>
    <t>Revenues</t>
  </si>
  <si>
    <t>y-o-y growth%</t>
  </si>
  <si>
    <t>Other revenues</t>
  </si>
  <si>
    <t>y-o-y growth %</t>
  </si>
  <si>
    <t>Case 1</t>
  </si>
  <si>
    <t>Case 2</t>
  </si>
  <si>
    <t>Case 3</t>
  </si>
  <si>
    <t>Cost of goods sold</t>
  </si>
  <si>
    <t>% of revenues</t>
  </si>
  <si>
    <t>Operating expenses</t>
  </si>
  <si>
    <t>Interest expense</t>
  </si>
  <si>
    <t>% of EBT</t>
  </si>
  <si>
    <t>31Dec18
Actual</t>
  </si>
  <si>
    <t>31Dec19
Actual</t>
  </si>
  <si>
    <t>31Dec20
Actual</t>
  </si>
  <si>
    <t>31Dec21
Forecast</t>
  </si>
  <si>
    <t>31Dec22
Forecast</t>
  </si>
  <si>
    <t>31Dec23
Forecast</t>
  </si>
  <si>
    <t>31Dec24
Forecast</t>
  </si>
  <si>
    <t>31Dec25
Forecast</t>
  </si>
  <si>
    <t>Trade receivable</t>
  </si>
  <si>
    <t>Days receivable</t>
  </si>
  <si>
    <t>Days Inventory</t>
  </si>
  <si>
    <t>Days payable</t>
  </si>
  <si>
    <t>as a % of revenue</t>
  </si>
  <si>
    <t>Total revenues</t>
  </si>
  <si>
    <t>Gross margin</t>
  </si>
  <si>
    <t>Tax rate</t>
  </si>
  <si>
    <t>Net income</t>
  </si>
  <si>
    <t>Balance Sheet</t>
  </si>
  <si>
    <t>Note</t>
  </si>
  <si>
    <t>Flat</t>
  </si>
  <si>
    <t>Financial liabilities</t>
  </si>
  <si>
    <t>Shareholders' equity</t>
  </si>
  <si>
    <t>Total Liabilities &amp; Equities</t>
  </si>
  <si>
    <t>Check</t>
  </si>
  <si>
    <t>Operating taxes</t>
  </si>
  <si>
    <t>Operating tax rate</t>
  </si>
  <si>
    <t>NOPAT</t>
  </si>
  <si>
    <t>Add-back D&amp;A</t>
  </si>
  <si>
    <t>Gross Cash Flow</t>
  </si>
  <si>
    <t>Trade payables</t>
  </si>
  <si>
    <t>Investments in working capital</t>
  </si>
  <si>
    <t>Investments in other assets/liabilities</t>
  </si>
  <si>
    <t>Capex</t>
  </si>
  <si>
    <t>Other investments</t>
  </si>
  <si>
    <t>Extraordinary items</t>
  </si>
  <si>
    <t>UFCF</t>
  </si>
  <si>
    <t>Interest expenses</t>
  </si>
  <si>
    <t>Delta Taxes vs. Operating taxes</t>
  </si>
  <si>
    <t>Delta Financial liabilities</t>
  </si>
  <si>
    <t>Delta Equity (incl. dividends)</t>
  </si>
  <si>
    <t>Net Cash Flow</t>
  </si>
  <si>
    <t>Opening cash</t>
  </si>
  <si>
    <t>Closing cash</t>
  </si>
  <si>
    <t>WACC</t>
  </si>
  <si>
    <t>g</t>
  </si>
  <si>
    <t>Discount factor</t>
  </si>
  <si>
    <t>Present value of UFCF</t>
  </si>
  <si>
    <t>PV of Cash flows</t>
  </si>
  <si>
    <t>Continuing value</t>
  </si>
  <si>
    <t>PV of Continuing value</t>
  </si>
  <si>
    <t>Enterprise value</t>
  </si>
  <si>
    <t>() Financial liabilities</t>
  </si>
  <si>
    <t>Cash</t>
  </si>
  <si>
    <t>Equity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</si>
</sst>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Fyy\ yyyy"/>
    <numFmt numFmtId="165" formatCode="_(* #,##0.0_);_(* \(#,##0.0\);_(* &quot;-&quot;?_);@_)"/>
    <numFmt numFmtId="166" formatCode="_(* #,##0_);_(* \(#,##0\);_(* &quot;-&quot;?_);@_)"/>
    <numFmt numFmtId="167" formatCode="0.0%"/>
    <numFmt numFmtId="168" formatCode="_(* #,##0_);_(* \(#,##0\);_(* &quot;-&quot;??_);_(@_)"/>
    <numFmt numFmtId="169" formatCode="_(* #,##0.0_);_(* \(#,##0.0\);_(* &quot;-&quot;?_);@_l"/>
    <numFmt numFmtId="170" formatCode="_(* #,##0_);_(* \(#,##0\);_(* &quot;-&quot;?_);@_l"/>
  </numFmts>
  <fonts count="19" x14ac:knownFonts="1">
    <font>
      <sz val="11"/>
      <color rgb="FF000000"/>
      <name val="Arial"/>
      <scheme val="minor"/>
    </font>
    <font>
      <b/>
      <sz val="12"/>
      <color rgb="FF002060"/>
      <name val="Arial"/>
    </font>
    <font>
      <sz val="9"/>
      <color theme="1"/>
      <name val="Arial"/>
    </font>
    <font>
      <b/>
      <sz val="9"/>
      <color rgb="FF002060"/>
      <name val="Arial"/>
    </font>
    <font>
      <b/>
      <sz val="9"/>
      <color rgb="FF44546A"/>
      <name val="Calibri"/>
    </font>
    <font>
      <b/>
      <sz val="8"/>
      <color theme="1"/>
      <name val="Arial"/>
    </font>
    <font>
      <b/>
      <sz val="9"/>
      <color theme="1"/>
      <name val="Arial"/>
    </font>
    <font>
      <sz val="8"/>
      <color theme="1"/>
      <name val="Arial"/>
    </font>
    <font>
      <u/>
      <sz val="9"/>
      <color rgb="FF002060"/>
      <name val="Arial"/>
    </font>
    <font>
      <sz val="11"/>
      <color theme="1"/>
      <name val="Calibri"/>
    </font>
    <font>
      <i/>
      <sz val="8"/>
      <color theme="1"/>
      <name val="Arial"/>
    </font>
    <font>
      <sz val="11"/>
      <color theme="1"/>
      <name val="Arial"/>
    </font>
    <font>
      <b/>
      <sz val="9"/>
      <color rgb="FFFFFFFF"/>
      <name val="Arial"/>
    </font>
    <font>
      <sz val="9"/>
      <color rgb="FF002060"/>
      <name val="Arial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11"/>
      <color theme="0"/>
      <name val="Arial"/>
      <family val="2"/>
      <scheme val="minor"/>
    </font>
    <font>
      <sz val="9"/>
      <color rgb="FF000000"/>
      <name val="Arial"/>
      <family val="2"/>
      <scheme val="minor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left" wrapText="1"/>
    </xf>
    <xf numFmtId="0" fontId="5" fillId="2" borderId="2" xfId="0" applyFont="1" applyFill="1" applyBorder="1" applyAlignment="1">
      <alignment horizontal="left"/>
    </xf>
    <xf numFmtId="0" fontId="6" fillId="2" borderId="2" xfId="0" applyFont="1" applyFill="1" applyBorder="1"/>
    <xf numFmtId="0" fontId="7" fillId="0" borderId="0" xfId="0" applyFont="1" applyAlignment="1">
      <alignment horizontal="left"/>
    </xf>
    <xf numFmtId="0" fontId="8" fillId="0" borderId="0" xfId="0" applyFont="1"/>
    <xf numFmtId="164" fontId="9" fillId="0" borderId="0" xfId="0" applyNumberFormat="1" applyFont="1"/>
    <xf numFmtId="165" fontId="1" fillId="0" borderId="0" xfId="0" applyNumberFormat="1" applyFont="1"/>
    <xf numFmtId="165" fontId="2" fillId="0" borderId="0" xfId="0" applyNumberFormat="1" applyFont="1"/>
    <xf numFmtId="165" fontId="6" fillId="0" borderId="3" xfId="0" applyNumberFormat="1" applyFont="1" applyBorder="1"/>
    <xf numFmtId="165" fontId="6" fillId="0" borderId="3" xfId="0" applyNumberFormat="1" applyFont="1" applyBorder="1" applyAlignment="1">
      <alignment horizontal="right" wrapText="1"/>
    </xf>
    <xf numFmtId="166" fontId="2" fillId="0" borderId="0" xfId="0" applyNumberFormat="1" applyFont="1"/>
    <xf numFmtId="165" fontId="6" fillId="0" borderId="4" xfId="0" applyNumberFormat="1" applyFont="1" applyBorder="1"/>
    <xf numFmtId="166" fontId="6" fillId="0" borderId="4" xfId="0" applyNumberFormat="1" applyFont="1" applyBorder="1"/>
    <xf numFmtId="165" fontId="6" fillId="0" borderId="5" xfId="0" applyNumberFormat="1" applyFont="1" applyBorder="1"/>
    <xf numFmtId="166" fontId="6" fillId="0" borderId="5" xfId="0" applyNumberFormat="1" applyFont="1" applyBorder="1"/>
    <xf numFmtId="165" fontId="2" fillId="0" borderId="5" xfId="0" applyNumberFormat="1" applyFont="1" applyBorder="1"/>
    <xf numFmtId="166" fontId="2" fillId="0" borderId="5" xfId="0" applyNumberFormat="1" applyFont="1" applyBorder="1"/>
    <xf numFmtId="0" fontId="9" fillId="0" borderId="0" xfId="0" applyFont="1"/>
    <xf numFmtId="165" fontId="3" fillId="0" borderId="6" xfId="0" applyNumberFormat="1" applyFont="1" applyBorder="1"/>
    <xf numFmtId="165" fontId="3" fillId="0" borderId="6" xfId="0" applyNumberFormat="1" applyFont="1" applyBorder="1" applyAlignment="1">
      <alignment horizontal="right" wrapText="1"/>
    </xf>
    <xf numFmtId="165" fontId="3" fillId="0" borderId="0" xfId="0" applyNumberFormat="1" applyFont="1" applyAlignment="1">
      <alignment horizontal="right" wrapText="1"/>
    </xf>
    <xf numFmtId="165" fontId="3" fillId="3" borderId="7" xfId="0" applyNumberFormat="1" applyFont="1" applyFill="1" applyBorder="1" applyAlignment="1">
      <alignment horizontal="right" wrapText="1"/>
    </xf>
    <xf numFmtId="166" fontId="2" fillId="3" borderId="2" xfId="0" applyNumberFormat="1" applyFont="1" applyFill="1" applyBorder="1"/>
    <xf numFmtId="166" fontId="2" fillId="0" borderId="0" xfId="0" applyNumberFormat="1" applyFont="1" applyAlignment="1">
      <alignment horizontal="right"/>
    </xf>
    <xf numFmtId="167" fontId="2" fillId="0" borderId="0" xfId="0" applyNumberFormat="1" applyFont="1"/>
    <xf numFmtId="9" fontId="2" fillId="3" borderId="2" xfId="0" applyNumberFormat="1" applyFont="1" applyFill="1" applyBorder="1"/>
    <xf numFmtId="168" fontId="2" fillId="3" borderId="2" xfId="0" applyNumberFormat="1" applyFont="1" applyFill="1" applyBorder="1"/>
    <xf numFmtId="9" fontId="2" fillId="0" borderId="0" xfId="0" applyNumberFormat="1" applyFont="1"/>
    <xf numFmtId="168" fontId="7" fillId="3" borderId="2" xfId="0" applyNumberFormat="1" applyFont="1" applyFill="1" applyBorder="1"/>
    <xf numFmtId="165" fontId="10" fillId="0" borderId="0" xfId="0" applyNumberFormat="1" applyFont="1"/>
    <xf numFmtId="165" fontId="10" fillId="3" borderId="2" xfId="0" applyNumberFormat="1" applyFont="1" applyFill="1" applyBorder="1"/>
    <xf numFmtId="165" fontId="2" fillId="3" borderId="2" xfId="0" applyNumberFormat="1" applyFont="1" applyFill="1" applyBorder="1"/>
    <xf numFmtId="167" fontId="10" fillId="0" borderId="0" xfId="0" applyNumberFormat="1" applyFont="1"/>
    <xf numFmtId="0" fontId="11" fillId="0" borderId="0" xfId="0" applyFont="1"/>
    <xf numFmtId="165" fontId="11" fillId="0" borderId="0" xfId="0" applyNumberFormat="1" applyFont="1"/>
    <xf numFmtId="165" fontId="3" fillId="0" borderId="4" xfId="0" applyNumberFormat="1" applyFont="1" applyBorder="1"/>
    <xf numFmtId="9" fontId="2" fillId="0" borderId="0" xfId="0" applyNumberFormat="1" applyFont="1" applyAlignment="1">
      <alignment horizontal="right"/>
    </xf>
    <xf numFmtId="166" fontId="11" fillId="0" borderId="0" xfId="0" applyNumberFormat="1" applyFont="1"/>
    <xf numFmtId="165" fontId="12" fillId="2" borderId="2" xfId="0" applyNumberFormat="1" applyFont="1" applyFill="1" applyBorder="1"/>
    <xf numFmtId="166" fontId="12" fillId="2" borderId="2" xfId="0" applyNumberFormat="1" applyFont="1" applyFill="1" applyBorder="1" applyAlignment="1">
      <alignment horizontal="right"/>
    </xf>
    <xf numFmtId="168" fontId="11" fillId="0" borderId="0" xfId="0" applyNumberFormat="1" applyFont="1"/>
    <xf numFmtId="165" fontId="3" fillId="0" borderId="6" xfId="0" applyNumberFormat="1" applyFont="1" applyBorder="1" applyAlignment="1">
      <alignment wrapText="1"/>
    </xf>
    <xf numFmtId="165" fontId="2" fillId="4" borderId="2" xfId="0" applyNumberFormat="1" applyFont="1" applyFill="1" applyBorder="1"/>
    <xf numFmtId="165" fontId="3" fillId="0" borderId="8" xfId="0" applyNumberFormat="1" applyFont="1" applyBorder="1"/>
    <xf numFmtId="166" fontId="3" fillId="0" borderId="8" xfId="0" applyNumberFormat="1" applyFont="1" applyBorder="1" applyAlignment="1">
      <alignment horizontal="right"/>
    </xf>
    <xf numFmtId="166" fontId="3" fillId="0" borderId="8" xfId="0" applyNumberFormat="1" applyFont="1" applyBorder="1"/>
    <xf numFmtId="169" fontId="1" fillId="0" borderId="0" xfId="0" applyNumberFormat="1" applyFont="1"/>
    <xf numFmtId="169" fontId="2" fillId="0" borderId="0" xfId="0" applyNumberFormat="1" applyFont="1"/>
    <xf numFmtId="170" fontId="2" fillId="0" borderId="0" xfId="0" applyNumberFormat="1" applyFont="1" applyAlignment="1">
      <alignment horizontal="right"/>
    </xf>
    <xf numFmtId="170" fontId="2" fillId="0" borderId="0" xfId="0" applyNumberFormat="1" applyFont="1"/>
    <xf numFmtId="170" fontId="3" fillId="0" borderId="4" xfId="0" applyNumberFormat="1" applyFont="1" applyBorder="1" applyAlignment="1">
      <alignment horizontal="right"/>
    </xf>
    <xf numFmtId="166" fontId="13" fillId="0" borderId="4" xfId="0" applyNumberFormat="1" applyFont="1" applyBorder="1"/>
    <xf numFmtId="170" fontId="3" fillId="0" borderId="4" xfId="0" applyNumberFormat="1" applyFont="1" applyBorder="1"/>
    <xf numFmtId="170" fontId="11" fillId="0" borderId="0" xfId="0" applyNumberFormat="1" applyFont="1"/>
    <xf numFmtId="170" fontId="3" fillId="0" borderId="0" xfId="0" applyNumberFormat="1" applyFont="1"/>
    <xf numFmtId="169" fontId="2" fillId="0" borderId="4" xfId="0" applyNumberFormat="1" applyFont="1" applyBorder="1"/>
    <xf numFmtId="169" fontId="3" fillId="0" borderId="0" xfId="0" applyNumberFormat="1" applyFont="1"/>
    <xf numFmtId="170" fontId="3" fillId="0" borderId="0" xfId="0" applyNumberFormat="1" applyFont="1" applyAlignment="1">
      <alignment horizontal="right"/>
    </xf>
    <xf numFmtId="165" fontId="6" fillId="0" borderId="0" xfId="0" applyNumberFormat="1" applyFont="1"/>
    <xf numFmtId="169" fontId="6" fillId="0" borderId="0" xfId="0" applyNumberFormat="1" applyFont="1"/>
    <xf numFmtId="169" fontId="7" fillId="0" borderId="0" xfId="0" applyNumberFormat="1" applyFont="1"/>
    <xf numFmtId="166" fontId="7" fillId="0" borderId="0" xfId="0" applyNumberFormat="1" applyFont="1"/>
    <xf numFmtId="170" fontId="7" fillId="0" borderId="0" xfId="0" applyNumberFormat="1" applyFont="1" applyAlignment="1">
      <alignment horizontal="right"/>
    </xf>
    <xf numFmtId="170" fontId="7" fillId="0" borderId="0" xfId="0" applyNumberFormat="1" applyFont="1"/>
    <xf numFmtId="169" fontId="11" fillId="0" borderId="0" xfId="0" applyNumberFormat="1" applyFont="1"/>
    <xf numFmtId="169" fontId="7" fillId="0" borderId="0" xfId="0" applyNumberFormat="1" applyFont="1" applyAlignment="1">
      <alignment horizontal="right"/>
    </xf>
    <xf numFmtId="9" fontId="12" fillId="2" borderId="2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3" borderId="2" xfId="0" applyNumberFormat="1" applyFont="1" applyFill="1" applyBorder="1" applyAlignment="1">
      <alignment horizontal="right"/>
    </xf>
    <xf numFmtId="0" fontId="11" fillId="3" borderId="2" xfId="0" applyFont="1" applyFill="1" applyBorder="1"/>
    <xf numFmtId="165" fontId="2" fillId="3" borderId="2" xfId="0" applyNumberFormat="1" applyFont="1" applyFill="1" applyBorder="1" applyAlignment="1">
      <alignment horizontal="right"/>
    </xf>
    <xf numFmtId="165" fontId="11" fillId="0" borderId="4" xfId="0" applyNumberFormat="1" applyFont="1" applyBorder="1"/>
    <xf numFmtId="166" fontId="11" fillId="0" borderId="4" xfId="0" applyNumberFormat="1" applyFont="1" applyBorder="1"/>
    <xf numFmtId="166" fontId="3" fillId="3" borderId="9" xfId="0" applyNumberFormat="1" applyFont="1" applyFill="1" applyBorder="1" applyAlignment="1">
      <alignment horizontal="right"/>
    </xf>
    <xf numFmtId="9" fontId="11" fillId="0" borderId="0" xfId="0" applyNumberFormat="1" applyFont="1"/>
    <xf numFmtId="9" fontId="6" fillId="0" borderId="3" xfId="0" applyNumberFormat="1" applyFont="1" applyBorder="1" applyAlignment="1">
      <alignment horizontal="right"/>
    </xf>
    <xf numFmtId="9" fontId="6" fillId="0" borderId="12" xfId="0" applyNumberFormat="1" applyFont="1" applyBorder="1" applyAlignment="1">
      <alignment horizontal="right"/>
    </xf>
    <xf numFmtId="0" fontId="14" fillId="2" borderId="2" xfId="0" applyFont="1" applyFill="1" applyBorder="1"/>
    <xf numFmtId="165" fontId="3" fillId="0" borderId="13" xfId="0" applyNumberFormat="1" applyFont="1" applyBorder="1"/>
    <xf numFmtId="166" fontId="2" fillId="0" borderId="13" xfId="0" applyNumberFormat="1" applyFont="1" applyBorder="1" applyAlignment="1">
      <alignment horizontal="right"/>
    </xf>
    <xf numFmtId="166" fontId="2" fillId="0" borderId="11" xfId="0" applyNumberFormat="1" applyFont="1" applyBorder="1" applyAlignment="1">
      <alignment horizontal="right"/>
    </xf>
    <xf numFmtId="9" fontId="2" fillId="0" borderId="11" xfId="0" applyNumberFormat="1" applyFont="1" applyBorder="1" applyAlignment="1">
      <alignment horizontal="right"/>
    </xf>
    <xf numFmtId="166" fontId="15" fillId="3" borderId="2" xfId="0" applyNumberFormat="1" applyFont="1" applyFill="1" applyBorder="1"/>
    <xf numFmtId="165" fontId="2" fillId="0" borderId="0" xfId="0" applyNumberFormat="1" applyFont="1"/>
    <xf numFmtId="0" fontId="0" fillId="0" borderId="0" xfId="0"/>
    <xf numFmtId="0" fontId="9" fillId="0" borderId="0" xfId="0" applyFont="1"/>
    <xf numFmtId="165" fontId="3" fillId="0" borderId="11" xfId="0" applyNumberFormat="1" applyFont="1" applyBorder="1"/>
    <xf numFmtId="165" fontId="1" fillId="0" borderId="0" xfId="0" applyNumberFormat="1" applyFont="1"/>
    <xf numFmtId="165" fontId="14" fillId="2" borderId="2" xfId="0" applyNumberFormat="1" applyFont="1" applyFill="1" applyBorder="1"/>
    <xf numFmtId="170" fontId="14" fillId="2" borderId="2" xfId="0" applyNumberFormat="1" applyFont="1" applyFill="1" applyBorder="1" applyAlignment="1">
      <alignment horizontal="right"/>
    </xf>
    <xf numFmtId="170" fontId="14" fillId="2" borderId="2" xfId="0" applyNumberFormat="1" applyFont="1" applyFill="1" applyBorder="1"/>
    <xf numFmtId="0" fontId="16" fillId="0" borderId="0" xfId="0" applyFont="1"/>
    <xf numFmtId="0" fontId="17" fillId="0" borderId="0" xfId="0" applyFont="1"/>
    <xf numFmtId="170" fontId="17" fillId="0" borderId="0" xfId="0" applyNumberFormat="1" applyFont="1"/>
    <xf numFmtId="165" fontId="14" fillId="2" borderId="10" xfId="0" applyNumberFormat="1" applyFont="1" applyFill="1" applyBorder="1" applyAlignment="1">
      <alignment horizontal="center"/>
    </xf>
    <xf numFmtId="0" fontId="18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18</xdr:row>
      <xdr:rowOff>95250</xdr:rowOff>
    </xdr:from>
    <xdr:ext cx="2333625" cy="200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4183950" y="3684750"/>
          <a:ext cx="2324100" cy="190500"/>
        </a:xfrm>
        <a:prstGeom prst="rect">
          <a:avLst/>
        </a:prstGeom>
        <a:solidFill>
          <a:srgbClr val="00206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WACC</a:t>
          </a:r>
          <a:endParaRPr sz="1400"/>
        </a:p>
      </xdr:txBody>
    </xdr:sp>
    <xdr:clientData fLocksWithSheet="0"/>
  </xdr:oneCellAnchor>
  <xdr:oneCellAnchor>
    <xdr:from>
      <xdr:col>6</xdr:col>
      <xdr:colOff>180975</xdr:colOff>
      <xdr:row>21</xdr:row>
      <xdr:rowOff>0</xdr:rowOff>
    </xdr:from>
    <xdr:ext cx="257175" cy="676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5222175" y="3446625"/>
          <a:ext cx="247650" cy="666750"/>
        </a:xfrm>
        <a:prstGeom prst="rect">
          <a:avLst/>
        </a:prstGeom>
        <a:solidFill>
          <a:srgbClr val="00206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workbookViewId="0"/>
  </sheetViews>
  <sheetFormatPr defaultColWidth="12.59765625" defaultRowHeight="15" customHeight="1" x14ac:dyDescent="0.25"/>
  <cols>
    <col min="1" max="1" width="2.8984375" customWidth="1"/>
    <col min="2" max="2" width="16" customWidth="1"/>
    <col min="3" max="3" width="13.69921875" customWidth="1"/>
    <col min="4" max="8" width="8.69921875" customWidth="1"/>
    <col min="9" max="26" width="14.3984375" customWidth="1"/>
  </cols>
  <sheetData>
    <row r="1" spans="2:8" ht="14.25" customHeight="1" x14ac:dyDescent="0.3">
      <c r="B1" s="1" t="s">
        <v>0</v>
      </c>
      <c r="C1" s="2"/>
    </row>
    <row r="2" spans="2:8" ht="14.25" customHeight="1" x14ac:dyDescent="0.25">
      <c r="B2" s="3" t="s">
        <v>1</v>
      </c>
      <c r="C2" s="2"/>
    </row>
    <row r="3" spans="2:8" ht="14.25" customHeight="1" x14ac:dyDescent="0.25">
      <c r="B3" s="2"/>
      <c r="C3" s="2"/>
    </row>
    <row r="4" spans="2:8" ht="14.25" customHeight="1" x14ac:dyDescent="0.25">
      <c r="B4" s="4" t="s">
        <v>2</v>
      </c>
      <c r="C4" s="4" t="s">
        <v>3</v>
      </c>
    </row>
    <row r="5" spans="2:8" ht="14.25" customHeight="1" x14ac:dyDescent="0.25">
      <c r="B5" s="5">
        <v>1</v>
      </c>
      <c r="C5" s="6" t="s">
        <v>4</v>
      </c>
    </row>
    <row r="6" spans="2:8" ht="14.25" customHeight="1" x14ac:dyDescent="0.25">
      <c r="B6" s="7">
        <f t="shared" ref="B6:B12" si="0">B5+1</f>
        <v>2</v>
      </c>
      <c r="C6" s="8" t="s">
        <v>5</v>
      </c>
    </row>
    <row r="7" spans="2:8" ht="14.25" customHeight="1" x14ac:dyDescent="0.25">
      <c r="B7" s="7">
        <f t="shared" si="0"/>
        <v>3</v>
      </c>
      <c r="C7" s="8" t="s">
        <v>6</v>
      </c>
    </row>
    <row r="8" spans="2:8" ht="14.25" customHeight="1" x14ac:dyDescent="0.3">
      <c r="B8" s="5">
        <f t="shared" si="0"/>
        <v>4</v>
      </c>
      <c r="C8" s="6" t="s">
        <v>7</v>
      </c>
      <c r="D8" s="9"/>
      <c r="E8" s="9"/>
      <c r="F8" s="9"/>
      <c r="G8" s="9"/>
      <c r="H8" s="9"/>
    </row>
    <row r="9" spans="2:8" ht="14.25" customHeight="1" x14ac:dyDescent="0.25">
      <c r="B9" s="7">
        <f t="shared" si="0"/>
        <v>5</v>
      </c>
      <c r="C9" s="8" t="s">
        <v>8</v>
      </c>
    </row>
    <row r="10" spans="2:8" ht="14.25" customHeight="1" x14ac:dyDescent="0.25">
      <c r="B10" s="7">
        <f t="shared" si="0"/>
        <v>6</v>
      </c>
      <c r="C10" s="8" t="s">
        <v>9</v>
      </c>
    </row>
    <row r="11" spans="2:8" ht="14.25" customHeight="1" x14ac:dyDescent="0.25">
      <c r="B11" s="7">
        <f t="shared" si="0"/>
        <v>7</v>
      </c>
      <c r="C11" s="8" t="s">
        <v>10</v>
      </c>
    </row>
    <row r="12" spans="2:8" ht="14.25" customHeight="1" x14ac:dyDescent="0.25">
      <c r="B12" s="7">
        <f t="shared" si="0"/>
        <v>8</v>
      </c>
      <c r="C12" s="8" t="s">
        <v>11</v>
      </c>
    </row>
    <row r="13" spans="2:8" ht="14.25" customHeight="1" x14ac:dyDescent="0.25"/>
    <row r="14" spans="2:8" ht="14.25" customHeight="1" x14ac:dyDescent="0.25"/>
    <row r="15" spans="2:8" ht="14.25" customHeight="1" x14ac:dyDescent="0.25"/>
    <row r="16" spans="2:8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C6" location="'P&amp;L assumptions'!A1" display="P&amp;L assumptions" xr:uid="{00000000-0004-0000-0000-000000000000}"/>
    <hyperlink ref="C7" location="'BS assumptions'!A1" display="BS assumptions" xr:uid="{00000000-0004-0000-0000-000001000000}"/>
    <hyperlink ref="C9" location="null!A1" display="P&amp;L" xr:uid="{00000000-0004-0000-0000-000002000000}"/>
    <hyperlink ref="C10" location="BS!A1" display="BS" xr:uid="{00000000-0004-0000-0000-000003000000}"/>
    <hyperlink ref="C11" location="'Cash Flow'!A1" display="Cash Flow" xr:uid="{00000000-0004-0000-0000-000004000000}"/>
    <hyperlink ref="C12" location="null!A1" display="DCF valuation" xr:uid="{00000000-0004-0000-0000-000005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00"/>
  <sheetViews>
    <sheetView workbookViewId="0"/>
  </sheetViews>
  <sheetFormatPr defaultColWidth="12.59765625" defaultRowHeight="15" customHeight="1" x14ac:dyDescent="0.25"/>
  <cols>
    <col min="1" max="1" width="8.69921875" customWidth="1"/>
    <col min="2" max="2" width="26" customWidth="1"/>
    <col min="3" max="3" width="8.69921875" customWidth="1"/>
    <col min="4" max="5" width="10.19921875" customWidth="1"/>
    <col min="6" max="6" width="11" customWidth="1"/>
    <col min="7" max="26" width="14.3984375" customWidth="1"/>
  </cols>
  <sheetData>
    <row r="1" spans="2:6" ht="14.25" customHeight="1" x14ac:dyDescent="0.3">
      <c r="B1" s="10" t="s">
        <v>12</v>
      </c>
      <c r="C1" s="11"/>
      <c r="D1" s="11"/>
      <c r="E1" s="11"/>
      <c r="F1" s="11"/>
    </row>
    <row r="2" spans="2:6" ht="14.25" customHeight="1" x14ac:dyDescent="0.25">
      <c r="B2" s="11"/>
      <c r="C2" s="11"/>
      <c r="D2" s="11"/>
      <c r="E2" s="11"/>
      <c r="F2" s="11"/>
    </row>
    <row r="3" spans="2:6" ht="14.25" customHeight="1" x14ac:dyDescent="0.25">
      <c r="B3" s="12" t="s">
        <v>13</v>
      </c>
      <c r="C3" s="12"/>
      <c r="D3" s="13" t="s">
        <v>14</v>
      </c>
      <c r="E3" s="13" t="s">
        <v>15</v>
      </c>
      <c r="F3" s="13" t="s">
        <v>16</v>
      </c>
    </row>
    <row r="4" spans="2:6" ht="14.25" customHeight="1" x14ac:dyDescent="0.25">
      <c r="B4" s="11" t="s">
        <v>17</v>
      </c>
      <c r="C4" s="11"/>
      <c r="D4" s="14">
        <v>177203</v>
      </c>
      <c r="E4" s="14">
        <v>188618</v>
      </c>
      <c r="F4" s="14">
        <v>208366</v>
      </c>
    </row>
    <row r="5" spans="2:6" ht="14.25" customHeight="1" x14ac:dyDescent="0.25">
      <c r="B5" s="11" t="s">
        <v>18</v>
      </c>
      <c r="C5" s="11"/>
      <c r="D5" s="14">
        <v>3520</v>
      </c>
      <c r="E5" s="14">
        <v>2416</v>
      </c>
      <c r="F5" s="14">
        <v>2585</v>
      </c>
    </row>
    <row r="6" spans="2:6" ht="14.25" customHeight="1" x14ac:dyDescent="0.25">
      <c r="B6" s="15" t="s">
        <v>19</v>
      </c>
      <c r="C6" s="15"/>
      <c r="D6" s="16">
        <f t="shared" ref="D6:F6" si="0">D4+D5</f>
        <v>180723</v>
      </c>
      <c r="E6" s="16">
        <f t="shared" si="0"/>
        <v>191034</v>
      </c>
      <c r="F6" s="16">
        <f t="shared" si="0"/>
        <v>210951</v>
      </c>
    </row>
    <row r="7" spans="2:6" ht="14.25" customHeight="1" x14ac:dyDescent="0.25">
      <c r="B7" s="11"/>
      <c r="C7" s="11"/>
      <c r="D7" s="14"/>
      <c r="E7" s="14"/>
      <c r="F7" s="14"/>
    </row>
    <row r="8" spans="2:6" ht="14.25" customHeight="1" x14ac:dyDescent="0.25">
      <c r="B8" s="11" t="s">
        <v>20</v>
      </c>
      <c r="C8" s="11"/>
      <c r="D8" s="14">
        <v>-139903.0394666667</v>
      </c>
      <c r="E8" s="14">
        <v>-138922.98879999999</v>
      </c>
      <c r="F8" s="14">
        <v>-150080.46882539699</v>
      </c>
    </row>
    <row r="9" spans="2:6" ht="14.25" customHeight="1" x14ac:dyDescent="0.25">
      <c r="B9" s="11" t="s">
        <v>21</v>
      </c>
      <c r="C9" s="11"/>
      <c r="D9" s="14">
        <v>-2491.3280000000004</v>
      </c>
      <c r="E9" s="14">
        <v>-11649.177600000001</v>
      </c>
      <c r="F9" s="14">
        <v>-7442.6495999999997</v>
      </c>
    </row>
    <row r="10" spans="2:6" ht="14.25" customHeight="1" x14ac:dyDescent="0.25">
      <c r="B10" s="11" t="s">
        <v>22</v>
      </c>
      <c r="C10" s="11"/>
      <c r="D10" s="14">
        <v>-16389.593600000004</v>
      </c>
      <c r="E10" s="14">
        <v>-17878.310399999998</v>
      </c>
      <c r="F10" s="14">
        <v>-22293.312000000005</v>
      </c>
    </row>
    <row r="11" spans="2:6" ht="14.25" customHeight="1" x14ac:dyDescent="0.25">
      <c r="B11" s="11" t="s">
        <v>23</v>
      </c>
      <c r="C11" s="11"/>
      <c r="D11" s="14">
        <v>-290.72640000000007</v>
      </c>
      <c r="E11" s="14">
        <v>-246.13120000000004</v>
      </c>
      <c r="F11" s="14">
        <v>-120.92160000000001</v>
      </c>
    </row>
    <row r="12" spans="2:6" ht="14.25" customHeight="1" x14ac:dyDescent="0.25">
      <c r="B12" s="11" t="s">
        <v>24</v>
      </c>
      <c r="C12" s="11"/>
      <c r="D12" s="14">
        <v>-1330.9952000000003</v>
      </c>
      <c r="E12" s="14">
        <v>-1123.4560000000001</v>
      </c>
      <c r="F12" s="14">
        <v>-1452.7744000000002</v>
      </c>
    </row>
    <row r="13" spans="2:6" ht="14.25" customHeight="1" x14ac:dyDescent="0.25">
      <c r="B13" s="11"/>
      <c r="C13" s="11"/>
      <c r="D13" s="14"/>
      <c r="E13" s="14"/>
      <c r="F13" s="14"/>
    </row>
    <row r="14" spans="2:6" ht="14.25" customHeight="1" x14ac:dyDescent="0.25">
      <c r="B14" s="15" t="s">
        <v>25</v>
      </c>
      <c r="C14" s="15"/>
      <c r="D14" s="16">
        <f t="shared" ref="D14:F14" si="1">D6+SUM(D8:D12)</f>
        <v>20317.317333333282</v>
      </c>
      <c r="E14" s="16">
        <f t="shared" si="1"/>
        <v>21213.936000000016</v>
      </c>
      <c r="F14" s="16">
        <f t="shared" si="1"/>
        <v>29560.873574603</v>
      </c>
    </row>
    <row r="15" spans="2:6" ht="14.25" customHeight="1" x14ac:dyDescent="0.25">
      <c r="B15" s="11"/>
      <c r="C15" s="11"/>
      <c r="D15" s="14"/>
      <c r="E15" s="14"/>
      <c r="F15" s="14"/>
    </row>
    <row r="16" spans="2:6" ht="14.25" customHeight="1" x14ac:dyDescent="0.25">
      <c r="B16" s="11" t="s">
        <v>26</v>
      </c>
      <c r="C16" s="11"/>
      <c r="D16" s="14">
        <v>-2907.8000000000006</v>
      </c>
      <c r="E16" s="14">
        <v>-4649.8</v>
      </c>
      <c r="F16" s="14">
        <v>-6430.6600000000008</v>
      </c>
    </row>
    <row r="17" spans="2:6" ht="14.25" customHeight="1" x14ac:dyDescent="0.25">
      <c r="B17" s="11"/>
      <c r="C17" s="11"/>
      <c r="D17" s="14"/>
      <c r="E17" s="14"/>
      <c r="F17" s="14"/>
    </row>
    <row r="18" spans="2:6" ht="14.25" customHeight="1" x14ac:dyDescent="0.25">
      <c r="B18" s="15" t="s">
        <v>27</v>
      </c>
      <c r="C18" s="15"/>
      <c r="D18" s="16">
        <f t="shared" ref="D18:F18" si="2">D14+D16</f>
        <v>17409.517333333282</v>
      </c>
      <c r="E18" s="16">
        <f t="shared" si="2"/>
        <v>16564.136000000017</v>
      </c>
      <c r="F18" s="16">
        <f t="shared" si="2"/>
        <v>23130.213574603</v>
      </c>
    </row>
    <row r="19" spans="2:6" ht="14.25" customHeight="1" x14ac:dyDescent="0.25">
      <c r="B19" s="11"/>
      <c r="C19" s="11"/>
      <c r="D19" s="14"/>
      <c r="E19" s="14"/>
      <c r="F19" s="14"/>
    </row>
    <row r="20" spans="2:6" ht="14.25" customHeight="1" x14ac:dyDescent="0.25">
      <c r="B20" s="11" t="s">
        <v>28</v>
      </c>
      <c r="C20" s="11"/>
      <c r="D20" s="14">
        <v>-1266.3000000000002</v>
      </c>
      <c r="E20" s="14">
        <v>-2190.9</v>
      </c>
      <c r="F20" s="14">
        <v>-2663.92</v>
      </c>
    </row>
    <row r="21" spans="2:6" ht="14.25" customHeight="1" x14ac:dyDescent="0.25">
      <c r="B21" s="11" t="s">
        <v>29</v>
      </c>
      <c r="C21" s="11"/>
      <c r="D21" s="14">
        <v>-317.58000000000004</v>
      </c>
      <c r="E21" s="14">
        <v>-864.30000000000007</v>
      </c>
      <c r="F21" s="14">
        <v>-320.26</v>
      </c>
    </row>
    <row r="22" spans="2:6" ht="14.25" customHeight="1" x14ac:dyDescent="0.25">
      <c r="B22" s="11"/>
      <c r="C22" s="11"/>
      <c r="D22" s="14"/>
      <c r="E22" s="14"/>
      <c r="F22" s="14"/>
    </row>
    <row r="23" spans="2:6" ht="14.25" customHeight="1" x14ac:dyDescent="0.25">
      <c r="B23" s="15" t="s">
        <v>30</v>
      </c>
      <c r="C23" s="15"/>
      <c r="D23" s="16">
        <f t="shared" ref="D23:F23" si="3">D18+D21+D20</f>
        <v>15825.637333333281</v>
      </c>
      <c r="E23" s="16">
        <f t="shared" si="3"/>
        <v>13508.936000000018</v>
      </c>
      <c r="F23" s="16">
        <f t="shared" si="3"/>
        <v>20146.033574603003</v>
      </c>
    </row>
    <row r="24" spans="2:6" ht="14.25" customHeight="1" x14ac:dyDescent="0.25">
      <c r="B24" s="11"/>
      <c r="C24" s="11"/>
      <c r="D24" s="14"/>
      <c r="E24" s="14"/>
      <c r="F24" s="14"/>
    </row>
    <row r="25" spans="2:6" ht="14.25" customHeight="1" x14ac:dyDescent="0.25">
      <c r="B25" s="11" t="s">
        <v>31</v>
      </c>
      <c r="C25" s="11"/>
      <c r="D25" s="14">
        <v>-3805.7759999999998</v>
      </c>
      <c r="E25" s="14">
        <v>-3050.192</v>
      </c>
      <c r="F25" s="14">
        <v>-3814.88</v>
      </c>
    </row>
    <row r="26" spans="2:6" ht="14.25" customHeight="1" x14ac:dyDescent="0.25">
      <c r="B26" s="11"/>
      <c r="C26" s="11"/>
      <c r="D26" s="14"/>
      <c r="E26" s="14"/>
      <c r="F26" s="14"/>
    </row>
    <row r="27" spans="2:6" ht="14.25" customHeight="1" x14ac:dyDescent="0.25">
      <c r="B27" s="17" t="s">
        <v>32</v>
      </c>
      <c r="C27" s="17"/>
      <c r="D27" s="18">
        <f t="shared" ref="D27:F27" si="4">D23+D25</f>
        <v>12019.861333333281</v>
      </c>
      <c r="E27" s="18">
        <f t="shared" si="4"/>
        <v>10458.744000000017</v>
      </c>
      <c r="F27" s="18">
        <f t="shared" si="4"/>
        <v>16331.153574603002</v>
      </c>
    </row>
    <row r="28" spans="2:6" ht="14.25" customHeight="1" x14ac:dyDescent="0.25">
      <c r="B28" s="11"/>
      <c r="C28" s="11"/>
      <c r="D28" s="11"/>
      <c r="E28" s="11"/>
      <c r="F28" s="11"/>
    </row>
    <row r="29" spans="2:6" ht="14.25" customHeight="1" x14ac:dyDescent="0.25"/>
    <row r="30" spans="2:6" ht="14.25" customHeight="1" x14ac:dyDescent="0.25"/>
    <row r="31" spans="2:6" ht="14.25" customHeight="1" x14ac:dyDescent="0.25"/>
    <row r="32" spans="2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000"/>
  <sheetViews>
    <sheetView showGridLines="0" workbookViewId="0"/>
  </sheetViews>
  <sheetFormatPr defaultColWidth="12.59765625" defaultRowHeight="15" customHeight="1" x14ac:dyDescent="0.25"/>
  <cols>
    <col min="1" max="1" width="4.09765625" customWidth="1"/>
    <col min="2" max="2" width="17.09765625" customWidth="1"/>
    <col min="3" max="3" width="8.69921875" customWidth="1"/>
    <col min="4" max="4" width="8.3984375" customWidth="1"/>
    <col min="5" max="7" width="8.69921875" customWidth="1"/>
    <col min="8" max="8" width="25.59765625" customWidth="1"/>
    <col min="9" max="9" width="8.69921875" customWidth="1"/>
    <col min="10" max="10" width="9" customWidth="1"/>
    <col min="11" max="13" width="8.69921875" customWidth="1"/>
    <col min="14" max="26" width="14.3984375" customWidth="1"/>
  </cols>
  <sheetData>
    <row r="1" spans="2:13" ht="14.25" customHeight="1" x14ac:dyDescent="0.3">
      <c r="B1" s="10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2:13" ht="14.25" customHeight="1" x14ac:dyDescent="0.25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13" ht="14.25" customHeight="1" x14ac:dyDescent="0.25">
      <c r="B3" s="12" t="s">
        <v>13</v>
      </c>
      <c r="C3" s="12"/>
      <c r="D3" s="13" t="s">
        <v>34</v>
      </c>
      <c r="E3" s="13" t="s">
        <v>35</v>
      </c>
      <c r="F3" s="13" t="s">
        <v>36</v>
      </c>
      <c r="G3" s="11"/>
      <c r="H3" s="12" t="s">
        <v>13</v>
      </c>
      <c r="I3" s="12"/>
      <c r="J3" s="13" t="s">
        <v>34</v>
      </c>
      <c r="K3" s="13" t="s">
        <v>35</v>
      </c>
      <c r="L3" s="13" t="s">
        <v>36</v>
      </c>
      <c r="M3" s="11"/>
    </row>
    <row r="4" spans="2:13" ht="14.25" customHeight="1" x14ac:dyDescent="0.25">
      <c r="B4" s="11" t="s">
        <v>37</v>
      </c>
      <c r="C4" s="11"/>
      <c r="D4" s="14">
        <v>5961.6</v>
      </c>
      <c r="E4" s="14">
        <v>5840</v>
      </c>
      <c r="F4" s="14">
        <v>5650</v>
      </c>
      <c r="G4" s="14"/>
      <c r="H4" s="14" t="s">
        <v>38</v>
      </c>
      <c r="I4" s="14"/>
      <c r="J4" s="14">
        <v>6784.8</v>
      </c>
      <c r="K4" s="14">
        <v>6800</v>
      </c>
      <c r="L4" s="14">
        <v>7508</v>
      </c>
      <c r="M4" s="11"/>
    </row>
    <row r="5" spans="2:13" ht="14.25" customHeight="1" x14ac:dyDescent="0.25">
      <c r="B5" s="11" t="s">
        <v>39</v>
      </c>
      <c r="C5" s="11"/>
      <c r="D5" s="14">
        <v>45106.400000000001</v>
      </c>
      <c r="E5" s="14">
        <v>49072.4</v>
      </c>
      <c r="F5" s="14">
        <v>56109.2</v>
      </c>
      <c r="G5" s="14"/>
      <c r="H5" s="14" t="s">
        <v>40</v>
      </c>
      <c r="I5" s="14"/>
      <c r="J5" s="14">
        <v>46224</v>
      </c>
      <c r="K5" s="14">
        <v>44414.400000000001</v>
      </c>
      <c r="L5" s="14">
        <v>46513.2</v>
      </c>
      <c r="M5" s="11"/>
    </row>
    <row r="6" spans="2:13" ht="14.25" customHeight="1" x14ac:dyDescent="0.25">
      <c r="B6" s="11" t="s">
        <v>41</v>
      </c>
      <c r="C6" s="11"/>
      <c r="D6" s="14">
        <v>8824</v>
      </c>
      <c r="E6" s="14">
        <v>9831</v>
      </c>
      <c r="F6" s="14">
        <v>10323</v>
      </c>
      <c r="G6" s="14"/>
      <c r="H6" s="14" t="s">
        <v>42</v>
      </c>
      <c r="I6" s="14"/>
      <c r="J6" s="14">
        <v>16393.7</v>
      </c>
      <c r="K6" s="14">
        <v>25993.7</v>
      </c>
      <c r="L6" s="14">
        <v>21516</v>
      </c>
      <c r="M6" s="11"/>
    </row>
    <row r="7" spans="2:13" ht="14.25" customHeight="1" x14ac:dyDescent="0.25">
      <c r="B7" s="11"/>
      <c r="C7" s="11"/>
      <c r="D7" s="14"/>
      <c r="E7" s="14"/>
      <c r="F7" s="14"/>
      <c r="G7" s="14"/>
      <c r="H7" s="14" t="s">
        <v>43</v>
      </c>
      <c r="I7" s="14"/>
      <c r="J7" s="14">
        <v>12019.861333333281</v>
      </c>
      <c r="K7" s="14">
        <v>10458.744000000017</v>
      </c>
      <c r="L7" s="14">
        <v>16331.153574603002</v>
      </c>
      <c r="M7" s="11"/>
    </row>
    <row r="8" spans="2:13" ht="14.25" customHeight="1" x14ac:dyDescent="0.25">
      <c r="B8" s="17" t="s">
        <v>44</v>
      </c>
      <c r="C8" s="19"/>
      <c r="D8" s="18">
        <f t="shared" ref="D8:F8" si="0">D6+D5+D4</f>
        <v>59892</v>
      </c>
      <c r="E8" s="18">
        <f t="shared" si="0"/>
        <v>64743.4</v>
      </c>
      <c r="F8" s="18">
        <f t="shared" si="0"/>
        <v>72082.2</v>
      </c>
      <c r="G8" s="14"/>
      <c r="H8" s="18" t="s">
        <v>45</v>
      </c>
      <c r="I8" s="20"/>
      <c r="J8" s="18">
        <f t="shared" ref="J8:L8" si="1">SUM(J4:J7)</f>
        <v>81422.361333333276</v>
      </c>
      <c r="K8" s="18">
        <f t="shared" si="1"/>
        <v>87666.844000000026</v>
      </c>
      <c r="L8" s="18">
        <f t="shared" si="1"/>
        <v>91868.353574602996</v>
      </c>
      <c r="M8" s="11"/>
    </row>
    <row r="9" spans="2:13" ht="14.25" customHeight="1" x14ac:dyDescent="0.25">
      <c r="B9" s="11"/>
      <c r="C9" s="11"/>
      <c r="D9" s="14"/>
      <c r="E9" s="14"/>
      <c r="F9" s="14"/>
      <c r="G9" s="14"/>
      <c r="H9" s="14"/>
      <c r="I9" s="14"/>
      <c r="J9" s="14"/>
      <c r="K9" s="14"/>
      <c r="L9" s="14"/>
      <c r="M9" s="11"/>
    </row>
    <row r="10" spans="2:13" ht="14.25" customHeight="1" x14ac:dyDescent="0.25">
      <c r="B10" s="11" t="s">
        <v>46</v>
      </c>
      <c r="C10" s="11"/>
      <c r="D10" s="14">
        <v>31167.200000000001</v>
      </c>
      <c r="E10" s="14">
        <v>36396.800000000003</v>
      </c>
      <c r="F10" s="14">
        <v>46212</v>
      </c>
      <c r="G10" s="14"/>
      <c r="H10" s="14" t="s">
        <v>47</v>
      </c>
      <c r="I10" s="14"/>
      <c r="J10" s="14">
        <v>15891.2</v>
      </c>
      <c r="K10" s="14">
        <v>26351.599999999999</v>
      </c>
      <c r="L10" s="14">
        <v>36189.599999999999</v>
      </c>
      <c r="M10" s="11"/>
    </row>
    <row r="11" spans="2:13" ht="14.25" customHeight="1" x14ac:dyDescent="0.25">
      <c r="B11" s="11" t="s">
        <v>48</v>
      </c>
      <c r="C11" s="11"/>
      <c r="D11" s="14">
        <v>32883.599999999999</v>
      </c>
      <c r="E11" s="14">
        <v>38556</v>
      </c>
      <c r="F11" s="14">
        <v>43581.599999999999</v>
      </c>
      <c r="G11" s="14"/>
      <c r="H11" s="14" t="s">
        <v>49</v>
      </c>
      <c r="I11" s="14"/>
      <c r="J11" s="14">
        <v>5315</v>
      </c>
      <c r="K11" s="14">
        <v>4334</v>
      </c>
      <c r="L11" s="14">
        <v>6473.0464253970422</v>
      </c>
      <c r="M11" s="11"/>
    </row>
    <row r="12" spans="2:13" ht="14.25" customHeight="1" x14ac:dyDescent="0.25">
      <c r="B12" s="11" t="s">
        <v>50</v>
      </c>
      <c r="C12" s="11"/>
      <c r="D12" s="14">
        <v>8841.6</v>
      </c>
      <c r="E12" s="14">
        <v>11359.199999999999</v>
      </c>
      <c r="F12" s="14">
        <v>17602.8</v>
      </c>
      <c r="G12" s="14"/>
      <c r="H12" s="14" t="s">
        <v>51</v>
      </c>
      <c r="I12" s="14"/>
      <c r="J12" s="14">
        <v>478.83866666668911</v>
      </c>
      <c r="K12" s="14">
        <v>1217.9560000000056</v>
      </c>
      <c r="L12" s="14">
        <v>1760.3999999999999</v>
      </c>
      <c r="M12" s="11"/>
    </row>
    <row r="13" spans="2:13" ht="14.25" customHeight="1" x14ac:dyDescent="0.25">
      <c r="B13" s="11"/>
      <c r="C13" s="11"/>
      <c r="D13" s="14"/>
      <c r="E13" s="14"/>
      <c r="F13" s="14"/>
      <c r="G13" s="14"/>
      <c r="H13" s="14" t="s">
        <v>52</v>
      </c>
      <c r="I13" s="14"/>
      <c r="J13" s="14">
        <v>175.2</v>
      </c>
      <c r="K13" s="14">
        <v>248.39999999999998</v>
      </c>
      <c r="L13" s="14">
        <v>240</v>
      </c>
      <c r="M13" s="11"/>
    </row>
    <row r="14" spans="2:13" ht="14.25" customHeight="1" x14ac:dyDescent="0.25">
      <c r="B14" s="11" t="s">
        <v>53</v>
      </c>
      <c r="C14" s="11"/>
      <c r="D14" s="14">
        <v>11791.199999999999</v>
      </c>
      <c r="E14" s="14">
        <v>19408.8</v>
      </c>
      <c r="F14" s="14">
        <v>8173.6</v>
      </c>
      <c r="G14" s="14"/>
      <c r="H14" s="14"/>
      <c r="I14" s="14"/>
      <c r="J14" s="14"/>
      <c r="K14" s="14"/>
      <c r="L14" s="14"/>
      <c r="M14" s="11"/>
    </row>
    <row r="15" spans="2:13" ht="14.25" customHeight="1" x14ac:dyDescent="0.25">
      <c r="B15" s="17" t="s">
        <v>54</v>
      </c>
      <c r="C15" s="19"/>
      <c r="D15" s="18">
        <f t="shared" ref="D15:F15" si="2">+D14+D12+D11+D10</f>
        <v>84683.599999999991</v>
      </c>
      <c r="E15" s="18">
        <f t="shared" si="2"/>
        <v>105720.8</v>
      </c>
      <c r="F15" s="18">
        <f t="shared" si="2"/>
        <v>115570</v>
      </c>
      <c r="G15" s="14"/>
      <c r="H15" s="14" t="s">
        <v>55</v>
      </c>
      <c r="I15" s="14"/>
      <c r="J15" s="14">
        <v>37402.600000000006</v>
      </c>
      <c r="K15" s="14">
        <v>45594.6</v>
      </c>
      <c r="L15" s="14">
        <v>50680.399999999994</v>
      </c>
      <c r="M15" s="11"/>
    </row>
    <row r="16" spans="2:13" ht="14.25" customHeight="1" x14ac:dyDescent="0.25">
      <c r="B16" s="11"/>
      <c r="C16" s="11"/>
      <c r="D16" s="14"/>
      <c r="E16" s="14"/>
      <c r="F16" s="14"/>
      <c r="G16" s="14"/>
      <c r="H16" s="14" t="s">
        <v>56</v>
      </c>
      <c r="I16" s="14"/>
      <c r="J16" s="14">
        <v>3890.3999999999996</v>
      </c>
      <c r="K16" s="14">
        <v>5050.8</v>
      </c>
      <c r="L16" s="14">
        <v>440.4</v>
      </c>
      <c r="M16" s="11"/>
    </row>
    <row r="17" spans="2:13" ht="14.25" customHeight="1" x14ac:dyDescent="0.25">
      <c r="B17" s="11"/>
      <c r="C17" s="11"/>
      <c r="D17" s="14"/>
      <c r="E17" s="14"/>
      <c r="F17" s="14"/>
      <c r="G17" s="14"/>
      <c r="H17" s="18" t="s">
        <v>57</v>
      </c>
      <c r="I17" s="20"/>
      <c r="J17" s="18">
        <f t="shared" ref="J17:L17" si="3">J16+J15+SUM(J10:J13)</f>
        <v>63153.238666666701</v>
      </c>
      <c r="K17" s="18">
        <f t="shared" si="3"/>
        <v>82797.356</v>
      </c>
      <c r="L17" s="18">
        <f t="shared" si="3"/>
        <v>95783.846425397031</v>
      </c>
      <c r="M17" s="11"/>
    </row>
    <row r="18" spans="2:13" ht="14.25" customHeight="1" x14ac:dyDescent="0.25">
      <c r="B18" s="11"/>
      <c r="C18" s="11"/>
      <c r="D18" s="14"/>
      <c r="E18" s="14"/>
      <c r="F18" s="14"/>
      <c r="G18" s="14"/>
      <c r="H18" s="14"/>
      <c r="I18" s="14"/>
      <c r="J18" s="14"/>
      <c r="K18" s="14"/>
      <c r="L18" s="14"/>
      <c r="M18" s="11"/>
    </row>
    <row r="19" spans="2:13" ht="14.25" customHeight="1" x14ac:dyDescent="0.25">
      <c r="B19" s="17" t="s">
        <v>58</v>
      </c>
      <c r="C19" s="19"/>
      <c r="D19" s="18">
        <f t="shared" ref="D19:F19" si="4">D15+D8</f>
        <v>144575.59999999998</v>
      </c>
      <c r="E19" s="18">
        <f t="shared" si="4"/>
        <v>170464.2</v>
      </c>
      <c r="F19" s="18">
        <f t="shared" si="4"/>
        <v>187652.2</v>
      </c>
      <c r="G19" s="14"/>
      <c r="H19" s="18" t="s">
        <v>59</v>
      </c>
      <c r="I19" s="20"/>
      <c r="J19" s="18">
        <f t="shared" ref="J19:L19" si="5">J17+J8</f>
        <v>144575.59999999998</v>
      </c>
      <c r="K19" s="18">
        <f t="shared" si="5"/>
        <v>170464.2</v>
      </c>
      <c r="L19" s="18">
        <f t="shared" si="5"/>
        <v>187652.2</v>
      </c>
      <c r="M19" s="11"/>
    </row>
    <row r="20" spans="2:13" ht="14.25" customHeight="1" x14ac:dyDescent="0.25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2:13" ht="14.25" customHeight="1" x14ac:dyDescent="0.25"/>
    <row r="22" spans="2:13" ht="14.25" customHeight="1" x14ac:dyDescent="0.25"/>
    <row r="23" spans="2:13" ht="14.25" customHeight="1" x14ac:dyDescent="0.25"/>
    <row r="24" spans="2:13" ht="14.25" customHeight="1" x14ac:dyDescent="0.25"/>
    <row r="25" spans="2:13" ht="14.25" customHeight="1" x14ac:dyDescent="0.25"/>
    <row r="26" spans="2:13" ht="14.25" customHeight="1" x14ac:dyDescent="0.25"/>
    <row r="27" spans="2:13" ht="14.25" customHeight="1" x14ac:dyDescent="0.25"/>
    <row r="28" spans="2:13" ht="14.25" customHeight="1" x14ac:dyDescent="0.25"/>
    <row r="29" spans="2:13" ht="14.25" customHeight="1" x14ac:dyDescent="0.25"/>
    <row r="30" spans="2:13" ht="14.25" customHeight="1" x14ac:dyDescent="0.25"/>
    <row r="31" spans="2:13" ht="14.25" customHeight="1" x14ac:dyDescent="0.25"/>
    <row r="32" spans="2:1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showGridLines="0" topLeftCell="A16" zoomScale="85" zoomScaleNormal="85" workbookViewId="0">
      <selection activeCell="C6" sqref="C6"/>
    </sheetView>
  </sheetViews>
  <sheetFormatPr defaultColWidth="12.59765625" defaultRowHeight="15" customHeight="1" x14ac:dyDescent="0.25"/>
  <cols>
    <col min="1" max="1" width="11.3984375" customWidth="1"/>
    <col min="2" max="2" width="9.59765625" customWidth="1"/>
    <col min="3" max="4" width="8.69921875" customWidth="1"/>
    <col min="5" max="5" width="8.296875" customWidth="1"/>
    <col min="6" max="6" width="2.296875" customWidth="1"/>
    <col min="7" max="7" width="9.8984375" customWidth="1"/>
    <col min="8" max="8" width="9.09765625" customWidth="1"/>
    <col min="9" max="9" width="8.69921875" customWidth="1"/>
    <col min="10" max="10" width="9.19921875" customWidth="1"/>
    <col min="11" max="26" width="14.3984375" customWidth="1"/>
  </cols>
  <sheetData>
    <row r="1" spans="1:11" ht="14.25" customHeight="1" x14ac:dyDescent="0.3">
      <c r="A1" s="91" t="s">
        <v>5</v>
      </c>
      <c r="B1" s="91"/>
      <c r="C1" s="21"/>
      <c r="D1" s="21"/>
      <c r="E1" s="21"/>
      <c r="G1" s="21"/>
      <c r="H1" s="21"/>
      <c r="I1" s="21"/>
      <c r="J1" s="21"/>
      <c r="K1" s="21"/>
    </row>
    <row r="2" spans="1:11" ht="14.25" customHeight="1" x14ac:dyDescent="0.3">
      <c r="A2" s="89"/>
      <c r="B2" s="89"/>
      <c r="C2" s="21"/>
      <c r="D2" s="21"/>
      <c r="E2" s="21"/>
      <c r="G2" s="11" t="s">
        <v>60</v>
      </c>
      <c r="H2" s="21"/>
      <c r="I2" s="21"/>
      <c r="J2" s="21"/>
      <c r="K2" s="21"/>
    </row>
    <row r="3" spans="1:11" ht="14.25" customHeight="1" x14ac:dyDescent="0.3">
      <c r="A3" s="89"/>
      <c r="B3" s="89"/>
      <c r="C3" s="21"/>
      <c r="D3" s="21"/>
      <c r="E3" s="21"/>
      <c r="G3" s="11" t="s">
        <v>61</v>
      </c>
      <c r="H3" s="11" t="s">
        <v>62</v>
      </c>
      <c r="I3" s="21"/>
      <c r="J3" s="21"/>
      <c r="K3" s="21"/>
    </row>
    <row r="4" spans="1:11" ht="14.25" customHeight="1" x14ac:dyDescent="0.3">
      <c r="A4" s="89"/>
      <c r="B4" s="89"/>
      <c r="C4" s="21"/>
      <c r="D4" s="21"/>
      <c r="E4" s="21"/>
      <c r="G4" s="11" t="s">
        <v>63</v>
      </c>
      <c r="H4" s="11" t="s">
        <v>64</v>
      </c>
      <c r="I4" s="21"/>
      <c r="J4" s="21"/>
      <c r="K4" s="21"/>
    </row>
    <row r="5" spans="1:11" ht="14.25" customHeight="1" x14ac:dyDescent="0.3">
      <c r="A5" s="87" t="s">
        <v>65</v>
      </c>
      <c r="B5" s="87"/>
      <c r="C5" s="81">
        <v>1</v>
      </c>
      <c r="D5" s="21"/>
      <c r="E5" s="21"/>
      <c r="G5" s="11" t="s">
        <v>66</v>
      </c>
      <c r="H5" s="11" t="s">
        <v>67</v>
      </c>
      <c r="I5" s="21"/>
      <c r="J5" s="21"/>
      <c r="K5" s="21"/>
    </row>
    <row r="6" spans="1:11" ht="14.25" customHeight="1" x14ac:dyDescent="0.25">
      <c r="A6" s="88"/>
      <c r="B6" s="88"/>
    </row>
    <row r="7" spans="1:11" ht="12.6" customHeight="1" x14ac:dyDescent="0.3">
      <c r="A7" s="89"/>
      <c r="B7" s="89"/>
      <c r="C7" s="21"/>
      <c r="D7" s="21"/>
      <c r="E7" s="21"/>
      <c r="G7" s="21"/>
      <c r="H7" s="21"/>
      <c r="I7" s="21"/>
      <c r="J7" s="21"/>
      <c r="K7" s="21"/>
    </row>
    <row r="8" spans="1:11" ht="23.4" customHeight="1" thickBot="1" x14ac:dyDescent="0.3">
      <c r="A8" s="90" t="s">
        <v>68</v>
      </c>
      <c r="B8" s="90"/>
      <c r="C8" s="23" t="s">
        <v>69</v>
      </c>
      <c r="D8" s="23" t="s">
        <v>70</v>
      </c>
      <c r="E8" s="23" t="s">
        <v>71</v>
      </c>
      <c r="G8" s="25" t="s">
        <v>72</v>
      </c>
      <c r="H8" s="25" t="s">
        <v>73</v>
      </c>
      <c r="I8" s="25" t="s">
        <v>74</v>
      </c>
      <c r="J8" s="25" t="s">
        <v>75</v>
      </c>
      <c r="K8" s="25" t="s">
        <v>76</v>
      </c>
    </row>
    <row r="9" spans="1:11" ht="14.25" customHeight="1" x14ac:dyDescent="0.25">
      <c r="A9" s="87" t="s">
        <v>77</v>
      </c>
      <c r="B9" s="87"/>
      <c r="C9" s="14">
        <f>'P&amp;L Source'!D4</f>
        <v>177203</v>
      </c>
      <c r="D9" s="14">
        <f>'P&amp;L Source'!E4</f>
        <v>188618</v>
      </c>
      <c r="E9" s="14">
        <f>'P&amp;L Source'!F4</f>
        <v>208366</v>
      </c>
      <c r="G9" s="26">
        <f>E9*(1+G10)</f>
        <v>229202.6</v>
      </c>
      <c r="H9" s="26">
        <f t="shared" ref="H9:K9" si="0">G9*(1+H10)</f>
        <v>252122.86000000002</v>
      </c>
      <c r="I9" s="26">
        <f t="shared" si="0"/>
        <v>277335.14600000007</v>
      </c>
      <c r="J9" s="26">
        <f t="shared" si="0"/>
        <v>305068.66060000012</v>
      </c>
      <c r="K9" s="26">
        <f t="shared" si="0"/>
        <v>335575.52666000015</v>
      </c>
    </row>
    <row r="10" spans="1:11" ht="14.25" customHeight="1" x14ac:dyDescent="0.25">
      <c r="A10" s="87" t="s">
        <v>78</v>
      </c>
      <c r="B10" s="87"/>
      <c r="C10" s="27"/>
      <c r="D10" s="28">
        <f t="shared" ref="D10:E10" si="1">D9/C9-1</f>
        <v>6.4417645299458703E-2</v>
      </c>
      <c r="E10" s="28">
        <f t="shared" si="1"/>
        <v>0.10469838509580209</v>
      </c>
      <c r="G10" s="29">
        <f>CHOOSE($C$5,G11,G12,G13)</f>
        <v>0.1</v>
      </c>
      <c r="H10" s="29">
        <f>CHOOSE($C$5,H11,H12,H13)</f>
        <v>0.1</v>
      </c>
      <c r="I10" s="29">
        <f>CHOOSE($C$5,I11,I12,I13)</f>
        <v>0.1</v>
      </c>
      <c r="J10" s="29">
        <f>CHOOSE($C$5,J11,J12,J13)</f>
        <v>0.1</v>
      </c>
      <c r="K10" s="29">
        <f>CHOOSE($C$5,K11,K12,K13)</f>
        <v>0.1</v>
      </c>
    </row>
    <row r="11" spans="1:11" ht="14.25" customHeight="1" x14ac:dyDescent="0.25">
      <c r="A11" s="87" t="s">
        <v>61</v>
      </c>
      <c r="B11" s="87"/>
      <c r="C11" s="11"/>
      <c r="D11" s="11"/>
      <c r="E11" s="11"/>
      <c r="G11" s="29">
        <v>0.1</v>
      </c>
      <c r="H11" s="29">
        <v>0.1</v>
      </c>
      <c r="I11" s="29">
        <v>0.1</v>
      </c>
      <c r="J11" s="29">
        <v>0.1</v>
      </c>
      <c r="K11" s="29">
        <v>0.1</v>
      </c>
    </row>
    <row r="12" spans="1:11" ht="14.25" customHeight="1" x14ac:dyDescent="0.25">
      <c r="A12" s="87" t="s">
        <v>63</v>
      </c>
      <c r="B12" s="87"/>
      <c r="C12" s="11"/>
      <c r="D12" s="11"/>
      <c r="E12" s="11"/>
      <c r="G12" s="29">
        <v>0.08</v>
      </c>
      <c r="H12" s="29">
        <v>0.08</v>
      </c>
      <c r="I12" s="29">
        <v>0.08</v>
      </c>
      <c r="J12" s="29">
        <v>0.08</v>
      </c>
      <c r="K12" s="29">
        <v>0.08</v>
      </c>
    </row>
    <row r="13" spans="1:11" ht="14.25" customHeight="1" x14ac:dyDescent="0.25">
      <c r="A13" s="87" t="s">
        <v>66</v>
      </c>
      <c r="B13" s="87"/>
      <c r="C13" s="11"/>
      <c r="D13" s="11"/>
      <c r="E13" s="11"/>
      <c r="G13" s="29">
        <v>0.06</v>
      </c>
      <c r="H13" s="29">
        <v>0.06</v>
      </c>
      <c r="I13" s="29">
        <v>0.06</v>
      </c>
      <c r="J13" s="29">
        <v>0.06</v>
      </c>
      <c r="K13" s="29">
        <v>0.06</v>
      </c>
    </row>
    <row r="14" spans="1:11" ht="14.25" customHeight="1" x14ac:dyDescent="0.3">
      <c r="A14" s="89"/>
      <c r="B14" s="89"/>
      <c r="C14" s="21"/>
      <c r="D14" s="21"/>
      <c r="E14" s="21"/>
      <c r="G14" s="26"/>
      <c r="H14" s="26"/>
      <c r="I14" s="26"/>
      <c r="J14" s="26"/>
      <c r="K14" s="26"/>
    </row>
    <row r="15" spans="1:11" ht="14.25" customHeight="1" x14ac:dyDescent="0.25">
      <c r="A15" s="87" t="s">
        <v>79</v>
      </c>
      <c r="B15" s="87"/>
      <c r="C15" s="14">
        <f>'P&amp;L Source'!D5</f>
        <v>3520</v>
      </c>
      <c r="D15" s="14">
        <f>'P&amp;L Source'!E5</f>
        <v>2416</v>
      </c>
      <c r="E15" s="14">
        <f>'P&amp;L Source'!F5</f>
        <v>2585</v>
      </c>
      <c r="G15" s="26">
        <f>E15*(1+G17)</f>
        <v>2585</v>
      </c>
      <c r="H15" s="26">
        <f t="shared" ref="H15:K15" si="2">G15*(1+H16)</f>
        <v>2585</v>
      </c>
      <c r="I15" s="26">
        <f t="shared" si="2"/>
        <v>2585</v>
      </c>
      <c r="J15" s="26">
        <f t="shared" si="2"/>
        <v>2585</v>
      </c>
      <c r="K15" s="26">
        <f t="shared" si="2"/>
        <v>2585</v>
      </c>
    </row>
    <row r="16" spans="1:11" ht="14.25" customHeight="1" x14ac:dyDescent="0.25">
      <c r="A16" s="87" t="s">
        <v>80</v>
      </c>
      <c r="B16" s="87"/>
      <c r="C16" s="14"/>
      <c r="D16" s="28"/>
      <c r="E16" s="28"/>
      <c r="G16" s="29">
        <f>CHOOSE($C$5,G17,G18,G19)</f>
        <v>0</v>
      </c>
      <c r="H16" s="29">
        <f>CHOOSE($C$5,H17,H18,H19)</f>
        <v>0</v>
      </c>
      <c r="I16" s="29">
        <f>CHOOSE($C$5,I17,I18,I19)</f>
        <v>0</v>
      </c>
      <c r="J16" s="29">
        <f>CHOOSE($C$5,J17,J18,J19)</f>
        <v>0</v>
      </c>
      <c r="K16" s="29">
        <f>CHOOSE($C$5,K17,K18,K19)</f>
        <v>0</v>
      </c>
    </row>
    <row r="17" spans="1:11" ht="14.25" customHeight="1" x14ac:dyDescent="0.25">
      <c r="A17" s="87" t="s">
        <v>81</v>
      </c>
      <c r="B17" s="87"/>
      <c r="C17" s="11"/>
      <c r="D17" s="11"/>
      <c r="E17" s="11"/>
      <c r="G17" s="29">
        <v>0</v>
      </c>
      <c r="H17" s="29">
        <v>0</v>
      </c>
      <c r="I17" s="29">
        <v>0</v>
      </c>
      <c r="J17" s="29">
        <v>0</v>
      </c>
      <c r="K17" s="29">
        <v>0</v>
      </c>
    </row>
    <row r="18" spans="1:11" ht="14.25" customHeight="1" x14ac:dyDescent="0.25">
      <c r="A18" s="87" t="s">
        <v>82</v>
      </c>
      <c r="B18" s="87"/>
      <c r="C18" s="11"/>
      <c r="D18" s="11"/>
      <c r="E18" s="11"/>
      <c r="G18" s="29">
        <v>0</v>
      </c>
      <c r="H18" s="29">
        <v>0</v>
      </c>
      <c r="I18" s="29">
        <v>0</v>
      </c>
      <c r="J18" s="29">
        <v>0</v>
      </c>
      <c r="K18" s="29">
        <v>0</v>
      </c>
    </row>
    <row r="19" spans="1:11" ht="14.25" customHeight="1" x14ac:dyDescent="0.25">
      <c r="A19" s="87" t="s">
        <v>83</v>
      </c>
      <c r="B19" s="87"/>
      <c r="C19" s="11"/>
      <c r="D19" s="11"/>
      <c r="E19" s="11"/>
      <c r="G19" s="29">
        <v>0</v>
      </c>
      <c r="H19" s="29">
        <v>0</v>
      </c>
      <c r="I19" s="29">
        <v>0</v>
      </c>
      <c r="J19" s="29">
        <v>0</v>
      </c>
      <c r="K19" s="29">
        <v>0</v>
      </c>
    </row>
    <row r="20" spans="1:11" ht="14.25" customHeight="1" x14ac:dyDescent="0.25">
      <c r="A20" s="88"/>
      <c r="B20" s="88"/>
      <c r="C20" s="14"/>
      <c r="D20" s="14"/>
      <c r="E20" s="14"/>
      <c r="G20" s="26"/>
      <c r="H20" s="26"/>
      <c r="I20" s="26"/>
      <c r="J20" s="26"/>
      <c r="K20" s="26"/>
    </row>
    <row r="21" spans="1:11" ht="14.25" customHeight="1" x14ac:dyDescent="0.25">
      <c r="A21" s="87" t="s">
        <v>84</v>
      </c>
      <c r="B21" s="87"/>
      <c r="C21" s="14">
        <f>'P&amp;L Source'!D8+'P&amp;L Source'!D9</f>
        <v>-142394.36746666671</v>
      </c>
      <c r="D21" s="14">
        <f>'P&amp;L Source'!E8+'P&amp;L Source'!E9</f>
        <v>-150572.16639999999</v>
      </c>
      <c r="E21" s="14">
        <f>'P&amp;L Source'!F8+'P&amp;L Source'!F9</f>
        <v>-157523.118425397</v>
      </c>
      <c r="G21" s="30">
        <f t="shared" ref="G21:K21" si="3">G9*G22</f>
        <v>-174193.976</v>
      </c>
      <c r="H21" s="30">
        <f t="shared" si="3"/>
        <v>-191613.37360000002</v>
      </c>
      <c r="I21" s="30">
        <f t="shared" si="3"/>
        <v>-210774.71096000005</v>
      </c>
      <c r="J21" s="30">
        <f t="shared" si="3"/>
        <v>-231852.18205600011</v>
      </c>
      <c r="K21" s="30">
        <f t="shared" si="3"/>
        <v>-255037.40026160012</v>
      </c>
    </row>
    <row r="22" spans="1:11" ht="14.25" customHeight="1" x14ac:dyDescent="0.25">
      <c r="A22" s="87" t="s">
        <v>85</v>
      </c>
      <c r="B22" s="87"/>
      <c r="C22" s="31">
        <f>C21/C$9</f>
        <v>-0.8035663474470901</v>
      </c>
      <c r="D22" s="31">
        <f>D21/D$9</f>
        <v>-0.79829160737575411</v>
      </c>
      <c r="E22" s="31">
        <f>E21/E$9</f>
        <v>-0.75599242882906514</v>
      </c>
      <c r="G22" s="29">
        <f>CHOOSE($C$5,G23,G24,G25)</f>
        <v>-0.76</v>
      </c>
      <c r="H22" s="29">
        <f>CHOOSE($C$5,H23,H24,H25)</f>
        <v>-0.76</v>
      </c>
      <c r="I22" s="29">
        <f>CHOOSE($C$5,I23,I24,I25)</f>
        <v>-0.76</v>
      </c>
      <c r="J22" s="29">
        <f>CHOOSE($C$5,J23,J24,J25)</f>
        <v>-0.76</v>
      </c>
      <c r="K22" s="29">
        <f>CHOOSE($C$5,K23,K24,K25)</f>
        <v>-0.76</v>
      </c>
    </row>
    <row r="23" spans="1:11" ht="14.25" customHeight="1" x14ac:dyDescent="0.25">
      <c r="A23" s="87" t="s">
        <v>81</v>
      </c>
      <c r="B23" s="87"/>
      <c r="C23" s="11"/>
      <c r="D23" s="11"/>
      <c r="E23" s="11"/>
      <c r="G23" s="29">
        <v>-0.76</v>
      </c>
      <c r="H23" s="29">
        <v>-0.76</v>
      </c>
      <c r="I23" s="29">
        <v>-0.76</v>
      </c>
      <c r="J23" s="29">
        <v>-0.76</v>
      </c>
      <c r="K23" s="29">
        <v>-0.76</v>
      </c>
    </row>
    <row r="24" spans="1:11" ht="14.25" customHeight="1" x14ac:dyDescent="0.25">
      <c r="A24" s="87" t="s">
        <v>82</v>
      </c>
      <c r="B24" s="87"/>
      <c r="C24" s="11"/>
      <c r="D24" s="11"/>
      <c r="E24" s="11"/>
      <c r="G24" s="29">
        <v>-0.78</v>
      </c>
      <c r="H24" s="29">
        <v>-0.78</v>
      </c>
      <c r="I24" s="29">
        <v>-0.78</v>
      </c>
      <c r="J24" s="29">
        <v>-0.78</v>
      </c>
      <c r="K24" s="29">
        <v>-0.78</v>
      </c>
    </row>
    <row r="25" spans="1:11" ht="14.25" customHeight="1" x14ac:dyDescent="0.25">
      <c r="A25" s="87" t="s">
        <v>83</v>
      </c>
      <c r="B25" s="87"/>
      <c r="C25" s="11"/>
      <c r="D25" s="11"/>
      <c r="E25" s="11"/>
      <c r="G25" s="29">
        <v>-0.8</v>
      </c>
      <c r="H25" s="29">
        <v>-0.8</v>
      </c>
      <c r="I25" s="29">
        <v>-0.8</v>
      </c>
      <c r="J25" s="29">
        <v>-0.8</v>
      </c>
      <c r="K25" s="29">
        <v>-0.8</v>
      </c>
    </row>
    <row r="26" spans="1:11" ht="14.25" customHeight="1" x14ac:dyDescent="0.25">
      <c r="A26" s="88"/>
      <c r="B26" s="88"/>
      <c r="C26" s="14"/>
      <c r="D26" s="14"/>
      <c r="E26" s="14"/>
      <c r="G26" s="26"/>
      <c r="H26" s="26"/>
      <c r="I26" s="26"/>
      <c r="J26" s="26"/>
      <c r="K26" s="26"/>
    </row>
    <row r="27" spans="1:11" ht="14.25" customHeight="1" x14ac:dyDescent="0.25">
      <c r="A27" s="87" t="s">
        <v>86</v>
      </c>
      <c r="B27" s="87"/>
      <c r="C27" s="14">
        <f>'P&amp;L Source'!D10+'P&amp;L Source'!D11+'P&amp;L Source'!D12</f>
        <v>-18011.315200000005</v>
      </c>
      <c r="D27" s="14">
        <f>'P&amp;L Source'!E10+'P&amp;L Source'!E11+'P&amp;L Source'!E12</f>
        <v>-19247.897599999997</v>
      </c>
      <c r="E27" s="14">
        <f>'P&amp;L Source'!F10+'P&amp;L Source'!F11+'P&amp;L Source'!F12</f>
        <v>-23867.008000000009</v>
      </c>
      <c r="G27" s="30">
        <f>G$9*G28</f>
        <v>-22920.260000000002</v>
      </c>
      <c r="H27" s="30">
        <f>H$9*H28</f>
        <v>-25212.286000000004</v>
      </c>
      <c r="I27" s="30">
        <f>I$9*I28</f>
        <v>-27733.51460000001</v>
      </c>
      <c r="J27" s="30">
        <f>J$9*J28</f>
        <v>-30506.866060000015</v>
      </c>
      <c r="K27" s="30">
        <f>K$9*K28</f>
        <v>-33557.552666000018</v>
      </c>
    </row>
    <row r="28" spans="1:11" ht="14.25" customHeight="1" x14ac:dyDescent="0.25">
      <c r="A28" s="87" t="s">
        <v>85</v>
      </c>
      <c r="B28" s="87"/>
      <c r="C28" s="31">
        <f>C27/C$9</f>
        <v>-0.10164227016472635</v>
      </c>
      <c r="D28" s="31">
        <f>D27/D$9</f>
        <v>-0.10204698173026963</v>
      </c>
      <c r="E28" s="31">
        <f>E27/E$9</f>
        <v>-0.11454367795129727</v>
      </c>
      <c r="G28" s="29">
        <f>CHOOSE($C$5,G29,G30,G31)</f>
        <v>-0.1</v>
      </c>
      <c r="H28" s="29">
        <f>CHOOSE($C$5,H29,H30,H31)</f>
        <v>-0.1</v>
      </c>
      <c r="I28" s="29">
        <f>CHOOSE($C$5,I29,I30,I31)</f>
        <v>-0.1</v>
      </c>
      <c r="J28" s="29">
        <f>CHOOSE($C$5,J29,J30,J31)</f>
        <v>-0.1</v>
      </c>
      <c r="K28" s="29">
        <f>CHOOSE($C$5,K29,K30,K31)</f>
        <v>-0.1</v>
      </c>
    </row>
    <row r="29" spans="1:11" ht="14.25" customHeight="1" x14ac:dyDescent="0.25">
      <c r="A29" s="87" t="s">
        <v>81</v>
      </c>
      <c r="B29" s="87"/>
      <c r="C29" s="11"/>
      <c r="D29" s="11"/>
      <c r="E29" s="11"/>
      <c r="G29" s="29">
        <v>-0.1</v>
      </c>
      <c r="H29" s="29">
        <v>-0.1</v>
      </c>
      <c r="I29" s="29">
        <v>-0.1</v>
      </c>
      <c r="J29" s="29">
        <v>-0.1</v>
      </c>
      <c r="K29" s="29">
        <v>-0.1</v>
      </c>
    </row>
    <row r="30" spans="1:11" ht="14.25" customHeight="1" x14ac:dyDescent="0.25">
      <c r="A30" s="87" t="s">
        <v>82</v>
      </c>
      <c r="B30" s="87"/>
      <c r="C30" s="11"/>
      <c r="D30" s="11"/>
      <c r="E30" s="11"/>
      <c r="G30" s="29">
        <v>-0.105</v>
      </c>
      <c r="H30" s="29">
        <v>-0.105</v>
      </c>
      <c r="I30" s="29">
        <v>-0.105</v>
      </c>
      <c r="J30" s="29">
        <v>-0.105</v>
      </c>
      <c r="K30" s="29">
        <v>-0.105</v>
      </c>
    </row>
    <row r="31" spans="1:11" ht="14.25" customHeight="1" x14ac:dyDescent="0.25">
      <c r="A31" s="87" t="s">
        <v>83</v>
      </c>
      <c r="B31" s="87"/>
      <c r="C31" s="11"/>
      <c r="D31" s="11"/>
      <c r="E31" s="11"/>
      <c r="G31" s="29">
        <v>-0.11</v>
      </c>
      <c r="H31" s="29">
        <v>-0.11</v>
      </c>
      <c r="I31" s="29">
        <v>-0.11</v>
      </c>
      <c r="J31" s="29">
        <v>-0.11</v>
      </c>
      <c r="K31" s="29">
        <v>-0.11</v>
      </c>
    </row>
    <row r="32" spans="1:11" ht="14.25" customHeight="1" x14ac:dyDescent="0.25">
      <c r="A32" s="88"/>
      <c r="B32" s="88"/>
      <c r="C32" s="14"/>
      <c r="D32" s="14"/>
      <c r="E32" s="14"/>
      <c r="G32" s="29"/>
      <c r="H32" s="29"/>
      <c r="I32" s="29"/>
      <c r="J32" s="29"/>
      <c r="K32" s="29"/>
    </row>
    <row r="33" spans="1:11" ht="14.25" customHeight="1" x14ac:dyDescent="0.25">
      <c r="A33" s="87" t="s">
        <v>26</v>
      </c>
      <c r="B33" s="87"/>
      <c r="C33" s="14">
        <f>'P&amp;L Source'!D16</f>
        <v>-2907.8000000000006</v>
      </c>
      <c r="D33" s="14">
        <f>'P&amp;L Source'!E16</f>
        <v>-4649.8</v>
      </c>
      <c r="E33" s="14">
        <f>'P&amp;L Source'!F16</f>
        <v>-6430.6600000000008</v>
      </c>
      <c r="G33" s="32">
        <f>G$9*G34</f>
        <v>-4584.0520000000006</v>
      </c>
      <c r="H33" s="30">
        <f>H$9*H34</f>
        <v>-5042.4572000000007</v>
      </c>
      <c r="I33" s="30">
        <f>I$9*I34</f>
        <v>-5546.7029200000015</v>
      </c>
      <c r="J33" s="30">
        <f>J$9*J34</f>
        <v>-6101.3732120000022</v>
      </c>
      <c r="K33" s="30">
        <f>K$9*K34</f>
        <v>-6711.510533200003</v>
      </c>
    </row>
    <row r="34" spans="1:11" ht="14.25" customHeight="1" x14ac:dyDescent="0.25">
      <c r="A34" s="87" t="s">
        <v>85</v>
      </c>
      <c r="B34" s="87"/>
      <c r="C34" s="31">
        <f>C33/C$9</f>
        <v>-1.6409428734276511E-2</v>
      </c>
      <c r="D34" s="31">
        <f>D33/D$9</f>
        <v>-2.4651942020379815E-2</v>
      </c>
      <c r="E34" s="31">
        <f>E33/E$9</f>
        <v>-3.0862328786846225E-2</v>
      </c>
      <c r="G34" s="29">
        <f>CHOOSE($C$5,G35,G36,G37)</f>
        <v>-0.02</v>
      </c>
      <c r="H34" s="29">
        <f>CHOOSE($C$5,H35,H36,H37)</f>
        <v>-0.02</v>
      </c>
      <c r="I34" s="29">
        <f>CHOOSE($C$5,I35,I36,I37)</f>
        <v>-0.02</v>
      </c>
      <c r="J34" s="29">
        <f>CHOOSE($C$5,J35,J36,J37)</f>
        <v>-0.02</v>
      </c>
      <c r="K34" s="29">
        <f>CHOOSE($C$5,K35,K36,K37)</f>
        <v>-0.02</v>
      </c>
    </row>
    <row r="35" spans="1:11" ht="14.25" customHeight="1" x14ac:dyDescent="0.25">
      <c r="A35" s="87" t="s">
        <v>81</v>
      </c>
      <c r="B35" s="87"/>
      <c r="C35" s="11"/>
      <c r="D35" s="11"/>
      <c r="E35" s="11"/>
      <c r="G35" s="29">
        <v>-0.02</v>
      </c>
      <c r="H35" s="29">
        <v>-0.02</v>
      </c>
      <c r="I35" s="29">
        <v>-0.02</v>
      </c>
      <c r="J35" s="29">
        <v>-0.02</v>
      </c>
      <c r="K35" s="29">
        <v>-0.02</v>
      </c>
    </row>
    <row r="36" spans="1:11" ht="14.25" customHeight="1" x14ac:dyDescent="0.25">
      <c r="A36" s="87" t="s">
        <v>82</v>
      </c>
      <c r="B36" s="87"/>
      <c r="C36" s="11"/>
      <c r="D36" s="11"/>
      <c r="E36" s="11"/>
      <c r="G36" s="29">
        <v>-2.5000000000000001E-2</v>
      </c>
      <c r="H36" s="29">
        <v>-2.5000000000000001E-2</v>
      </c>
      <c r="I36" s="29">
        <v>-2.5000000000000001E-2</v>
      </c>
      <c r="J36" s="29">
        <v>-2.5000000000000001E-2</v>
      </c>
      <c r="K36" s="29">
        <v>-2.5000000000000001E-2</v>
      </c>
    </row>
    <row r="37" spans="1:11" ht="14.25" customHeight="1" x14ac:dyDescent="0.25">
      <c r="A37" s="87" t="s">
        <v>83</v>
      </c>
      <c r="B37" s="87"/>
      <c r="C37" s="11"/>
      <c r="D37" s="11"/>
      <c r="E37" s="11"/>
      <c r="G37" s="29">
        <v>-0.03</v>
      </c>
      <c r="H37" s="29">
        <v>-0.03</v>
      </c>
      <c r="I37" s="29">
        <v>-0.03</v>
      </c>
      <c r="J37" s="29">
        <v>-0.03</v>
      </c>
      <c r="K37" s="29">
        <v>-0.03</v>
      </c>
    </row>
    <row r="38" spans="1:11" ht="14.25" customHeight="1" x14ac:dyDescent="0.25">
      <c r="A38" s="88"/>
      <c r="B38" s="88"/>
      <c r="C38" s="14"/>
      <c r="D38" s="14"/>
      <c r="E38" s="14"/>
      <c r="G38" s="29"/>
      <c r="H38" s="29"/>
      <c r="I38" s="29"/>
      <c r="J38" s="29"/>
      <c r="K38" s="29"/>
    </row>
    <row r="39" spans="1:11" ht="14.25" customHeight="1" x14ac:dyDescent="0.25">
      <c r="A39" s="87" t="s">
        <v>87</v>
      </c>
      <c r="B39" s="87"/>
      <c r="C39" s="14">
        <f>'P&amp;L Source'!D20</f>
        <v>-1266.3000000000002</v>
      </c>
      <c r="D39" s="14">
        <f>'P&amp;L Source'!E20</f>
        <v>-2190.9</v>
      </c>
      <c r="E39" s="14">
        <f>'P&amp;L Source'!F20</f>
        <v>-2663.92</v>
      </c>
      <c r="G39" s="26">
        <f>E39*(1+G41)</f>
        <v>-2663.92</v>
      </c>
      <c r="H39" s="26">
        <f t="shared" ref="H39:K39" si="4">G39*(1+H40)</f>
        <v>-2663.92</v>
      </c>
      <c r="I39" s="26">
        <f t="shared" si="4"/>
        <v>-2663.92</v>
      </c>
      <c r="J39" s="26">
        <f t="shared" si="4"/>
        <v>-2663.92</v>
      </c>
      <c r="K39" s="26">
        <f t="shared" si="4"/>
        <v>-2663.92</v>
      </c>
    </row>
    <row r="40" spans="1:11" ht="14.25" customHeight="1" x14ac:dyDescent="0.25">
      <c r="A40" s="87" t="s">
        <v>80</v>
      </c>
      <c r="B40" s="87"/>
      <c r="C40" s="27"/>
      <c r="D40" s="27"/>
      <c r="E40" s="27"/>
      <c r="G40" s="29">
        <f>CHOOSE($C$5,G41,G42,G43)</f>
        <v>0</v>
      </c>
      <c r="H40" s="29">
        <f>CHOOSE($C$5,H41,H42,H43)</f>
        <v>0</v>
      </c>
      <c r="I40" s="29">
        <f>CHOOSE($C$5,I41,I42,I43)</f>
        <v>0</v>
      </c>
      <c r="J40" s="29">
        <f>CHOOSE($C$5,J41,J42,J43)</f>
        <v>0</v>
      </c>
      <c r="K40" s="29">
        <f>CHOOSE($C$5,K41,K42,K43)</f>
        <v>0</v>
      </c>
    </row>
    <row r="41" spans="1:11" ht="14.25" customHeight="1" x14ac:dyDescent="0.25">
      <c r="A41" s="87" t="s">
        <v>81</v>
      </c>
      <c r="B41" s="87"/>
      <c r="C41" s="11"/>
      <c r="D41" s="11"/>
      <c r="E41" s="11"/>
      <c r="G41" s="29">
        <v>0</v>
      </c>
      <c r="H41" s="29">
        <v>0</v>
      </c>
      <c r="I41" s="29">
        <v>0</v>
      </c>
      <c r="J41" s="29">
        <v>0</v>
      </c>
      <c r="K41" s="29">
        <v>0</v>
      </c>
    </row>
    <row r="42" spans="1:11" ht="14.25" customHeight="1" x14ac:dyDescent="0.25">
      <c r="A42" s="87" t="s">
        <v>82</v>
      </c>
      <c r="B42" s="87"/>
      <c r="C42" s="11"/>
      <c r="D42" s="11"/>
      <c r="E42" s="11"/>
      <c r="G42" s="29">
        <v>0</v>
      </c>
      <c r="H42" s="29">
        <v>0</v>
      </c>
      <c r="I42" s="29">
        <v>0</v>
      </c>
      <c r="J42" s="29">
        <v>0</v>
      </c>
      <c r="K42" s="29">
        <v>0</v>
      </c>
    </row>
    <row r="43" spans="1:11" ht="14.25" customHeight="1" x14ac:dyDescent="0.25">
      <c r="A43" s="87" t="s">
        <v>83</v>
      </c>
      <c r="B43" s="87"/>
      <c r="C43" s="11"/>
      <c r="D43" s="11"/>
      <c r="E43" s="11"/>
      <c r="G43" s="29">
        <v>0</v>
      </c>
      <c r="H43" s="29">
        <v>0</v>
      </c>
      <c r="I43" s="29">
        <v>0</v>
      </c>
      <c r="J43" s="29">
        <v>0</v>
      </c>
      <c r="K43" s="29">
        <v>0</v>
      </c>
    </row>
    <row r="44" spans="1:11" ht="14.25" customHeight="1" x14ac:dyDescent="0.25">
      <c r="A44" s="88"/>
      <c r="B44" s="88"/>
      <c r="C44" s="14"/>
      <c r="D44" s="14"/>
      <c r="E44" s="14"/>
      <c r="G44" s="29"/>
      <c r="H44" s="29"/>
      <c r="I44" s="29"/>
      <c r="J44" s="29"/>
      <c r="K44" s="29"/>
    </row>
    <row r="45" spans="1:11" ht="14.25" customHeight="1" x14ac:dyDescent="0.25">
      <c r="A45" s="87" t="s">
        <v>29</v>
      </c>
      <c r="B45" s="87"/>
      <c r="C45" s="14">
        <f>'P&amp;L Source'!D21</f>
        <v>-317.58000000000004</v>
      </c>
      <c r="D45" s="14">
        <f>'P&amp;L Source'!E21</f>
        <v>-864.30000000000007</v>
      </c>
      <c r="E45" s="14">
        <f>'P&amp;L Source'!F21</f>
        <v>-320.26</v>
      </c>
      <c r="G45" s="26" t="e">
        <f>#REF!*(1+G46)</f>
        <v>#REF!</v>
      </c>
      <c r="H45" s="26" t="e">
        <f>G45*(1+H46)</f>
        <v>#REF!</v>
      </c>
      <c r="I45" s="26" t="e">
        <f>H45*(1+I46)</f>
        <v>#REF!</v>
      </c>
      <c r="J45" s="26" t="e">
        <f>I45*(1+J46)</f>
        <v>#REF!</v>
      </c>
      <c r="K45" s="26" t="e">
        <f>J45*(1+K46)</f>
        <v>#REF!</v>
      </c>
    </row>
    <row r="46" spans="1:11" ht="14.25" customHeight="1" x14ac:dyDescent="0.25">
      <c r="A46" s="87" t="s">
        <v>80</v>
      </c>
      <c r="B46" s="87"/>
      <c r="C46" s="28"/>
      <c r="D46" s="28">
        <f t="shared" ref="D46:E46" si="5">D45/C45-1</f>
        <v>1.721518987341772</v>
      </c>
      <c r="E46" s="28">
        <f t="shared" si="5"/>
        <v>-0.62945736434108523</v>
      </c>
      <c r="G46" s="29">
        <f>CHOOSE($C$5,G47,G48,G49)</f>
        <v>0</v>
      </c>
      <c r="H46" s="29">
        <f>CHOOSE($C$5,H47,H48,H49)</f>
        <v>0</v>
      </c>
      <c r="I46" s="29">
        <f>CHOOSE($C$5,I47,I48,I49)</f>
        <v>0</v>
      </c>
      <c r="J46" s="29">
        <f>CHOOSE($C$5,J47,J48,J49)</f>
        <v>0</v>
      </c>
      <c r="K46" s="29">
        <f>CHOOSE($C$5,K47,K48,K49)</f>
        <v>0</v>
      </c>
    </row>
    <row r="47" spans="1:11" ht="14.25" customHeight="1" x14ac:dyDescent="0.25">
      <c r="A47" s="87" t="s">
        <v>81</v>
      </c>
      <c r="B47" s="87"/>
      <c r="C47" s="11"/>
      <c r="D47" s="11"/>
      <c r="E47" s="11"/>
      <c r="G47" s="29">
        <v>0</v>
      </c>
      <c r="H47" s="29">
        <v>0</v>
      </c>
      <c r="I47" s="29">
        <v>0</v>
      </c>
      <c r="J47" s="29">
        <v>0</v>
      </c>
      <c r="K47" s="29">
        <v>0</v>
      </c>
    </row>
    <row r="48" spans="1:11" ht="14.25" customHeight="1" x14ac:dyDescent="0.25">
      <c r="A48" s="87" t="s">
        <v>82</v>
      </c>
      <c r="B48" s="87"/>
      <c r="C48" s="11"/>
      <c r="D48" s="11"/>
      <c r="E48" s="11"/>
      <c r="G48" s="29">
        <v>0</v>
      </c>
      <c r="H48" s="29">
        <v>0</v>
      </c>
      <c r="I48" s="29">
        <v>0</v>
      </c>
      <c r="J48" s="29">
        <v>0</v>
      </c>
      <c r="K48" s="29">
        <v>0</v>
      </c>
    </row>
    <row r="49" spans="1:11" ht="14.25" customHeight="1" x14ac:dyDescent="0.25">
      <c r="A49" s="87" t="s">
        <v>83</v>
      </c>
      <c r="B49" s="87"/>
      <c r="C49" s="11"/>
      <c r="D49" s="11"/>
      <c r="E49" s="11"/>
      <c r="G49" s="29">
        <v>0</v>
      </c>
      <c r="H49" s="29">
        <v>0</v>
      </c>
      <c r="I49" s="29">
        <v>0</v>
      </c>
      <c r="J49" s="29">
        <v>0</v>
      </c>
      <c r="K49" s="29">
        <v>0</v>
      </c>
    </row>
    <row r="50" spans="1:11" ht="14.25" customHeight="1" x14ac:dyDescent="0.25">
      <c r="A50" s="88"/>
      <c r="B50" s="88"/>
      <c r="C50" s="14"/>
      <c r="D50" s="14"/>
      <c r="E50" s="14"/>
      <c r="G50" s="29"/>
      <c r="H50" s="29"/>
      <c r="I50" s="29"/>
      <c r="J50" s="29"/>
      <c r="K50" s="29"/>
    </row>
    <row r="51" spans="1:11" ht="14.25" customHeight="1" x14ac:dyDescent="0.25">
      <c r="A51" s="87" t="s">
        <v>31</v>
      </c>
      <c r="B51" s="87"/>
      <c r="C51" s="14">
        <f>'P&amp;L Source'!D25</f>
        <v>-3805.7759999999998</v>
      </c>
      <c r="D51" s="14">
        <f>'P&amp;L Source'!E25</f>
        <v>-3050.192</v>
      </c>
      <c r="E51" s="14">
        <f>'P&amp;L Source'!F25</f>
        <v>-3814.88</v>
      </c>
      <c r="G51" s="29"/>
      <c r="H51" s="29"/>
      <c r="I51" s="29"/>
      <c r="J51" s="29"/>
      <c r="K51" s="29"/>
    </row>
    <row r="52" spans="1:11" ht="14.25" customHeight="1" x14ac:dyDescent="0.25">
      <c r="A52" s="87" t="s">
        <v>88</v>
      </c>
      <c r="B52" s="87"/>
      <c r="C52" s="31">
        <f>C51/'P&amp;L Source'!D23</f>
        <v>-0.2404816892893126</v>
      </c>
      <c r="D52" s="31">
        <f>D51/'P&amp;L Source'!E23</f>
        <v>-0.22579069143565386</v>
      </c>
      <c r="E52" s="31">
        <f>E51/'P&amp;L Source'!F23</f>
        <v>-0.18936134430001197</v>
      </c>
      <c r="G52" s="29">
        <f>CHOOSE($C$5,G53,G54,G55)</f>
        <v>-0.18</v>
      </c>
      <c r="H52" s="29">
        <f>CHOOSE($C$5,H53,H54,H55)</f>
        <v>-0.18</v>
      </c>
      <c r="I52" s="29">
        <f>CHOOSE($C$5,I53,I54,I55)</f>
        <v>-0.18</v>
      </c>
      <c r="J52" s="29">
        <f>CHOOSE($C$5,J53,J54,J55)</f>
        <v>-0.18</v>
      </c>
      <c r="K52" s="29">
        <f>CHOOSE($C$5,K53,K54,K55)</f>
        <v>-0.18</v>
      </c>
    </row>
    <row r="53" spans="1:11" ht="14.25" customHeight="1" x14ac:dyDescent="0.25">
      <c r="A53" s="87" t="s">
        <v>81</v>
      </c>
      <c r="B53" s="87"/>
      <c r="C53" s="11"/>
      <c r="D53" s="11"/>
      <c r="E53" s="11"/>
      <c r="G53" s="29">
        <v>-0.18</v>
      </c>
      <c r="H53" s="29">
        <v>-0.18</v>
      </c>
      <c r="I53" s="29">
        <v>-0.18</v>
      </c>
      <c r="J53" s="29">
        <v>-0.18</v>
      </c>
      <c r="K53" s="29">
        <v>-0.18</v>
      </c>
    </row>
    <row r="54" spans="1:11" ht="14.25" customHeight="1" x14ac:dyDescent="0.25">
      <c r="A54" s="87" t="s">
        <v>82</v>
      </c>
      <c r="B54" s="87"/>
      <c r="C54" s="11"/>
      <c r="D54" s="11"/>
      <c r="E54" s="11"/>
      <c r="G54" s="29">
        <v>-0.2</v>
      </c>
      <c r="H54" s="29">
        <v>-0.2</v>
      </c>
      <c r="I54" s="29">
        <v>-0.2</v>
      </c>
      <c r="J54" s="29">
        <v>-0.2</v>
      </c>
      <c r="K54" s="29">
        <v>-0.2</v>
      </c>
    </row>
    <row r="55" spans="1:11" ht="14.25" customHeight="1" x14ac:dyDescent="0.25">
      <c r="A55" s="87" t="s">
        <v>83</v>
      </c>
      <c r="B55" s="87"/>
      <c r="C55" s="11"/>
      <c r="D55" s="11"/>
      <c r="E55" s="11"/>
      <c r="G55" s="29">
        <v>-0.22</v>
      </c>
      <c r="H55" s="29">
        <v>-0.22</v>
      </c>
      <c r="I55" s="29">
        <v>-0.22</v>
      </c>
      <c r="J55" s="29">
        <v>-0.22</v>
      </c>
      <c r="K55" s="29">
        <v>-0.22</v>
      </c>
    </row>
    <row r="56" spans="1:11" ht="14.25" customHeight="1" x14ac:dyDescent="0.25"/>
    <row r="57" spans="1:11" ht="14.25" customHeight="1" x14ac:dyDescent="0.25"/>
    <row r="58" spans="1:11" ht="14.25" customHeight="1" x14ac:dyDescent="0.25"/>
    <row r="59" spans="1:11" ht="14.25" customHeight="1" x14ac:dyDescent="0.25"/>
    <row r="60" spans="1:11" ht="14.25" customHeight="1" x14ac:dyDescent="0.25"/>
    <row r="61" spans="1:11" ht="14.25" customHeight="1" x14ac:dyDescent="0.25"/>
    <row r="62" spans="1:11" ht="14.25" customHeight="1" x14ac:dyDescent="0.25"/>
    <row r="63" spans="1:11" ht="14.25" customHeight="1" x14ac:dyDescent="0.25"/>
    <row r="64" spans="1:11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5">
    <mergeCell ref="A12:B12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24:B24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5:B55"/>
    <mergeCell ref="A49:B49"/>
    <mergeCell ref="A50:B50"/>
    <mergeCell ref="A51:B51"/>
    <mergeCell ref="A52:B52"/>
    <mergeCell ref="A53:B53"/>
    <mergeCell ref="A54:B54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000"/>
  <sheetViews>
    <sheetView workbookViewId="0">
      <selection activeCell="L16" sqref="L16"/>
    </sheetView>
  </sheetViews>
  <sheetFormatPr defaultColWidth="12.59765625" defaultRowHeight="15" customHeight="1" x14ac:dyDescent="0.25"/>
  <cols>
    <col min="1" max="1" width="8.69921875" customWidth="1"/>
    <col min="2" max="2" width="19.09765625" customWidth="1"/>
    <col min="3" max="5" width="8.69921875" customWidth="1"/>
    <col min="6" max="6" width="2" customWidth="1"/>
    <col min="7" max="11" width="8.69921875" customWidth="1"/>
    <col min="12" max="26" width="14.3984375" customWidth="1"/>
  </cols>
  <sheetData>
    <row r="1" spans="2:11" ht="14.25" customHeight="1" x14ac:dyDescent="0.3">
      <c r="B1" s="10" t="s">
        <v>6</v>
      </c>
      <c r="C1" s="11"/>
      <c r="D1" s="11"/>
      <c r="E1" s="11"/>
      <c r="F1" s="11"/>
      <c r="G1" s="11"/>
      <c r="H1" s="11"/>
      <c r="I1" s="11"/>
      <c r="J1" s="11"/>
      <c r="K1" s="11"/>
    </row>
    <row r="2" spans="2:11" ht="14.25" customHeight="1" x14ac:dyDescent="0.25"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2:11" ht="14.25" customHeight="1" x14ac:dyDescent="0.25"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2:11" ht="25.8" customHeight="1" x14ac:dyDescent="0.25">
      <c r="B4" s="22" t="s">
        <v>68</v>
      </c>
      <c r="C4" s="23" t="s">
        <v>89</v>
      </c>
      <c r="D4" s="23" t="s">
        <v>90</v>
      </c>
      <c r="E4" s="23" t="s">
        <v>91</v>
      </c>
      <c r="F4" s="24"/>
      <c r="G4" s="25" t="s">
        <v>92</v>
      </c>
      <c r="H4" s="25" t="s">
        <v>93</v>
      </c>
      <c r="I4" s="25" t="s">
        <v>94</v>
      </c>
      <c r="J4" s="25" t="s">
        <v>95</v>
      </c>
      <c r="K4" s="25" t="s">
        <v>96</v>
      </c>
    </row>
    <row r="5" spans="2:11" ht="14.25" customHeight="1" x14ac:dyDescent="0.25">
      <c r="B5" s="11" t="s">
        <v>97</v>
      </c>
      <c r="C5" s="14">
        <f>'BS source'!D11</f>
        <v>32883.599999999999</v>
      </c>
      <c r="D5" s="14">
        <f>'BS source'!E11</f>
        <v>38556</v>
      </c>
      <c r="E5" s="14">
        <f>'BS source'!F11</f>
        <v>43581.599999999999</v>
      </c>
      <c r="F5" s="11"/>
      <c r="G5" s="86">
        <f>(G6*'P&amp;L assumptions'!G9)/365</f>
        <v>47352.304716071507</v>
      </c>
      <c r="H5" s="86">
        <f>(H6*'P&amp;L assumptions'!H9)/365</f>
        <v>52087.535187678659</v>
      </c>
      <c r="I5" s="86">
        <f>(I6*'P&amp;L assumptions'!I9)/365</f>
        <v>57296.288706446532</v>
      </c>
      <c r="J5" s="86">
        <f>(J6*'P&amp;L assumptions'!J9)/365</f>
        <v>63025.917577091197</v>
      </c>
      <c r="K5" s="86">
        <f>(K6*'P&amp;L assumptions'!K9)/365</f>
        <v>69328.509334800314</v>
      </c>
    </row>
    <row r="6" spans="2:11" ht="14.25" customHeight="1" x14ac:dyDescent="0.25">
      <c r="B6" s="33" t="s">
        <v>98</v>
      </c>
      <c r="C6" s="33">
        <f>C5/'P&amp;L Source'!D6*365</f>
        <v>66.413870951677424</v>
      </c>
      <c r="D6" s="33">
        <f>D5/'P&amp;L Source'!E6*365</f>
        <v>73.667200603034019</v>
      </c>
      <c r="E6" s="33">
        <f>E5/'P&amp;L Source'!F6*365</f>
        <v>75.407483254405051</v>
      </c>
      <c r="F6" s="11"/>
      <c r="G6" s="34">
        <f>$E$6</f>
        <v>75.407483254405051</v>
      </c>
      <c r="H6" s="34">
        <f t="shared" ref="H6:K6" si="0">$E$6</f>
        <v>75.407483254405051</v>
      </c>
      <c r="I6" s="34">
        <f t="shared" si="0"/>
        <v>75.407483254405051</v>
      </c>
      <c r="J6" s="34">
        <f t="shared" si="0"/>
        <v>75.407483254405051</v>
      </c>
      <c r="K6" s="34">
        <f t="shared" si="0"/>
        <v>75.407483254405051</v>
      </c>
    </row>
    <row r="7" spans="2:11" ht="14.25" customHeight="1" x14ac:dyDescent="0.25">
      <c r="B7" s="11"/>
      <c r="C7" s="14"/>
      <c r="D7" s="14"/>
      <c r="E7" s="14"/>
      <c r="F7" s="11"/>
      <c r="G7" s="35"/>
      <c r="H7" s="35"/>
      <c r="I7" s="35"/>
      <c r="J7" s="35"/>
      <c r="K7" s="35"/>
    </row>
    <row r="8" spans="2:11" ht="14.25" customHeight="1" x14ac:dyDescent="0.25">
      <c r="B8" s="11" t="s">
        <v>46</v>
      </c>
      <c r="C8" s="14">
        <f>'BS source'!D10</f>
        <v>31167.200000000001</v>
      </c>
      <c r="D8" s="14">
        <f>'BS source'!E10</f>
        <v>36396.800000000003</v>
      </c>
      <c r="E8" s="14">
        <f>'BS source'!F10</f>
        <v>46212</v>
      </c>
      <c r="F8" s="11"/>
      <c r="G8" s="26">
        <f>-(G9*'P&amp;L assumptions'!G21)/365</f>
        <v>51102.670511975753</v>
      </c>
      <c r="H8" s="26">
        <f>-(H9*'P&amp;L assumptions'!H21)/365</f>
        <v>56212.937563173342</v>
      </c>
      <c r="I8" s="26">
        <f>-(I9*'P&amp;L assumptions'!I21)/365</f>
        <v>61834.231319490675</v>
      </c>
      <c r="J8" s="26">
        <f>-(J9*'P&amp;L assumptions'!J21)/365</f>
        <v>68017.654451439768</v>
      </c>
      <c r="K8" s="26">
        <f>-(K9*'P&amp;L assumptions'!K21)/365</f>
        <v>74819.419896583742</v>
      </c>
    </row>
    <row r="9" spans="2:11" ht="14.25" customHeight="1" x14ac:dyDescent="0.25">
      <c r="B9" s="33" t="s">
        <v>99</v>
      </c>
      <c r="C9" s="33">
        <f>-C8/'P&amp;L assumptions'!C21*365</f>
        <v>79.890997111687227</v>
      </c>
      <c r="D9" s="33">
        <f>-D8/'P&amp;L assumptions'!D21*365</f>
        <v>88.229002196251869</v>
      </c>
      <c r="E9" s="33">
        <f>-E8/'P&amp;L assumptions'!E21*365</f>
        <v>107.07875877907024</v>
      </c>
      <c r="F9" s="11"/>
      <c r="G9" s="34">
        <f>$E$9</f>
        <v>107.07875877907024</v>
      </c>
      <c r="H9" s="34">
        <f t="shared" ref="H9:K9" si="1">$E$9</f>
        <v>107.07875877907024</v>
      </c>
      <c r="I9" s="34">
        <f t="shared" si="1"/>
        <v>107.07875877907024</v>
      </c>
      <c r="J9" s="34">
        <f t="shared" si="1"/>
        <v>107.07875877907024</v>
      </c>
      <c r="K9" s="34">
        <f t="shared" si="1"/>
        <v>107.07875877907024</v>
      </c>
    </row>
    <row r="10" spans="2:11" ht="14.25" customHeight="1" x14ac:dyDescent="0.25">
      <c r="B10" s="11"/>
      <c r="C10" s="14"/>
      <c r="D10" s="14"/>
      <c r="E10" s="14"/>
      <c r="F10" s="11"/>
      <c r="G10" s="35"/>
      <c r="H10" s="35"/>
      <c r="I10" s="35"/>
      <c r="J10" s="35"/>
      <c r="K10" s="35"/>
    </row>
    <row r="11" spans="2:11" ht="14.25" customHeight="1" x14ac:dyDescent="0.25">
      <c r="B11" s="11" t="s">
        <v>47</v>
      </c>
      <c r="C11" s="14">
        <f>'BS source'!J10</f>
        <v>15891.2</v>
      </c>
      <c r="D11" s="14">
        <f>'BS source'!K10</f>
        <v>26351.599999999999</v>
      </c>
      <c r="E11" s="14">
        <f>'BS source'!L10</f>
        <v>36189.599999999999</v>
      </c>
      <c r="F11" s="11"/>
      <c r="G11" s="26">
        <f>-(G12*'P&amp;L assumptions'!G21)/365</f>
        <v>40019.588088812387</v>
      </c>
      <c r="H11" s="26">
        <f>-(H12*'P&amp;L assumptions'!H21)/365</f>
        <v>44021.546897693624</v>
      </c>
      <c r="I11" s="26">
        <f>-(I12*'P&amp;L assumptions'!I21)/365</f>
        <v>48423.701587462994</v>
      </c>
      <c r="J11" s="26">
        <f>-(J12*'P&amp;L assumptions'!J21)/365</f>
        <v>53266.071746209302</v>
      </c>
      <c r="K11" s="26">
        <f>-(K12*'P&amp;L assumptions'!K21)/365</f>
        <v>58592.678920830236</v>
      </c>
    </row>
    <row r="12" spans="2:11" ht="14.25" customHeight="1" x14ac:dyDescent="0.25">
      <c r="B12" s="33" t="s">
        <v>100</v>
      </c>
      <c r="C12" s="33">
        <f>-C11/'P&amp;L assumptions'!C21*365</f>
        <v>40.733970754551073</v>
      </c>
      <c r="D12" s="33">
        <f>-D11/'P&amp;L assumptions'!D21*365</f>
        <v>63.878565540782439</v>
      </c>
      <c r="E12" s="33">
        <f>-E11/'P&amp;L assumptions'!E21*365</f>
        <v>83.855653265624525</v>
      </c>
      <c r="F12" s="11"/>
      <c r="G12" s="34">
        <f>$E$12</f>
        <v>83.855653265624525</v>
      </c>
      <c r="H12" s="34">
        <f t="shared" ref="H12:K12" si="2">$E$12</f>
        <v>83.855653265624525</v>
      </c>
      <c r="I12" s="34">
        <f t="shared" si="2"/>
        <v>83.855653265624525</v>
      </c>
      <c r="J12" s="34">
        <f t="shared" si="2"/>
        <v>83.855653265624525</v>
      </c>
      <c r="K12" s="34">
        <f t="shared" si="2"/>
        <v>83.855653265624525</v>
      </c>
    </row>
    <row r="13" spans="2:11" ht="14.25" customHeight="1" x14ac:dyDescent="0.25">
      <c r="B13" s="11"/>
      <c r="C13" s="14"/>
      <c r="D13" s="14"/>
      <c r="E13" s="14"/>
      <c r="F13" s="11"/>
      <c r="G13" s="35"/>
      <c r="H13" s="35"/>
      <c r="I13" s="35"/>
      <c r="J13" s="35"/>
      <c r="K13" s="35"/>
    </row>
    <row r="14" spans="2:11" ht="14.25" customHeight="1" x14ac:dyDescent="0.25">
      <c r="B14" s="11" t="s">
        <v>39</v>
      </c>
      <c r="C14" s="14">
        <f>'BS source'!D5</f>
        <v>45106.400000000001</v>
      </c>
      <c r="D14" s="14">
        <f>'BS source'!E5</f>
        <v>49072.4</v>
      </c>
      <c r="E14" s="14">
        <f>'BS source'!F5</f>
        <v>56109.2</v>
      </c>
      <c r="F14" s="11"/>
      <c r="G14" s="26">
        <f>G15*'P&amp;L assumptions'!G9</f>
        <v>59898.018769381182</v>
      </c>
      <c r="H14" s="26">
        <f>H15*'P&amp;L assumptions'!H9</f>
        <v>65887.820646319306</v>
      </c>
      <c r="I14" s="26">
        <f>I15*'P&amp;L assumptions'!I9</f>
        <v>72476.602710951251</v>
      </c>
      <c r="J14" s="26">
        <f>J15*'P&amp;L assumptions'!J9</f>
        <v>79724.262982046392</v>
      </c>
      <c r="K14" s="26">
        <f>K15*'P&amp;L assumptions'!K9</f>
        <v>87696.689280251027</v>
      </c>
    </row>
    <row r="15" spans="2:11" ht="14.25" customHeight="1" x14ac:dyDescent="0.25">
      <c r="B15" s="33" t="s">
        <v>101</v>
      </c>
      <c r="C15" s="36">
        <f>C14/'P&amp;L assumptions'!C9</f>
        <v>0.25454648059005774</v>
      </c>
      <c r="D15" s="36">
        <f>D14/'P&amp;L assumptions'!D9</f>
        <v>0.26016817058817293</v>
      </c>
      <c r="E15" s="36">
        <f>E14/'P&amp;L assumptions'!E9</f>
        <v>0.26928193659234229</v>
      </c>
      <c r="F15" s="11"/>
      <c r="G15" s="29">
        <f>AVERAGE($C$15:$E$15)</f>
        <v>0.26133219592352436</v>
      </c>
      <c r="H15" s="29">
        <f t="shared" ref="H15:K15" si="3">AVERAGE($C$15:$E$15)</f>
        <v>0.26133219592352436</v>
      </c>
      <c r="I15" s="29">
        <f t="shared" si="3"/>
        <v>0.26133219592352436</v>
      </c>
      <c r="J15" s="29">
        <f t="shared" si="3"/>
        <v>0.26133219592352436</v>
      </c>
      <c r="K15" s="29">
        <f t="shared" si="3"/>
        <v>0.26133219592352436</v>
      </c>
    </row>
    <row r="16" spans="2:11" ht="14.25" customHeight="1" x14ac:dyDescent="0.25">
      <c r="B16" s="11"/>
      <c r="C16" s="14"/>
      <c r="D16" s="14"/>
      <c r="E16" s="14"/>
      <c r="F16" s="11"/>
      <c r="G16" s="35"/>
      <c r="H16" s="35"/>
      <c r="I16" s="35"/>
      <c r="J16" s="35"/>
      <c r="K16" s="35"/>
    </row>
    <row r="17" spans="2:11" ht="14.25" customHeight="1" x14ac:dyDescent="0.25">
      <c r="B17" s="11" t="s">
        <v>50</v>
      </c>
      <c r="C17" s="14">
        <f>'BS source'!D12</f>
        <v>8841.6</v>
      </c>
      <c r="D17" s="14">
        <f>'BS source'!E12</f>
        <v>11359.199999999999</v>
      </c>
      <c r="E17" s="14">
        <f>'BS source'!F12</f>
        <v>17602.8</v>
      </c>
      <c r="F17" s="11"/>
      <c r="G17" s="26">
        <f>G18*'P&amp;L assumptions'!G9</f>
        <v>14867.518484339287</v>
      </c>
      <c r="H17" s="26">
        <f>H18*'P&amp;L assumptions'!H9</f>
        <v>16354.270332773216</v>
      </c>
      <c r="I17" s="26">
        <f>I18*'P&amp;L assumptions'!I9</f>
        <v>17989.697366050539</v>
      </c>
      <c r="J17" s="26">
        <f>J18*'P&amp;L assumptions'!J9</f>
        <v>19788.6671026556</v>
      </c>
      <c r="K17" s="26">
        <f>K18*'P&amp;L assumptions'!K9</f>
        <v>21767.53381292116</v>
      </c>
    </row>
    <row r="18" spans="2:11" ht="14.25" customHeight="1" x14ac:dyDescent="0.25">
      <c r="B18" s="33" t="s">
        <v>101</v>
      </c>
      <c r="C18" s="36">
        <f>C17/'P&amp;L assumptions'!C9</f>
        <v>4.9895317799360059E-2</v>
      </c>
      <c r="D18" s="36">
        <f>D17/'P&amp;L assumptions'!D9</f>
        <v>6.0223308485934532E-2</v>
      </c>
      <c r="E18" s="36">
        <f>E17/'P&amp;L assumptions'!E9</f>
        <v>8.4480193505658316E-2</v>
      </c>
      <c r="F18" s="11"/>
      <c r="G18" s="29">
        <f>AVERAGE($C$18:$E$18)</f>
        <v>6.4866273263650964E-2</v>
      </c>
      <c r="H18" s="29">
        <f t="shared" ref="H18:K18" si="4">AVERAGE($C$18:$E$18)</f>
        <v>6.4866273263650964E-2</v>
      </c>
      <c r="I18" s="29">
        <f t="shared" si="4"/>
        <v>6.4866273263650964E-2</v>
      </c>
      <c r="J18" s="29">
        <f t="shared" si="4"/>
        <v>6.4866273263650964E-2</v>
      </c>
      <c r="K18" s="29">
        <f t="shared" si="4"/>
        <v>6.4866273263650964E-2</v>
      </c>
    </row>
    <row r="19" spans="2:11" ht="14.25" customHeight="1" x14ac:dyDescent="0.25">
      <c r="B19" s="11"/>
      <c r="C19" s="14"/>
      <c r="D19" s="14"/>
      <c r="E19" s="14"/>
      <c r="F19" s="11"/>
      <c r="G19" s="35"/>
      <c r="H19" s="35"/>
      <c r="I19" s="35"/>
      <c r="J19" s="35"/>
      <c r="K19" s="35"/>
    </row>
    <row r="20" spans="2:11" ht="14.25" customHeight="1" x14ac:dyDescent="0.25">
      <c r="B20" s="11" t="s">
        <v>49</v>
      </c>
      <c r="C20" s="14">
        <f>'BS source'!J11+'BS source'!J12+'BS source'!J13</f>
        <v>5969.0386666666891</v>
      </c>
      <c r="D20" s="14">
        <f>'BS source'!K11+'BS source'!K12+'BS source'!K13</f>
        <v>5800.3560000000052</v>
      </c>
      <c r="E20" s="14">
        <f>'BS source'!L11+'BS source'!L12+'BS source'!L13</f>
        <v>8473.4464253970418</v>
      </c>
      <c r="F20" s="11"/>
      <c r="G20" s="26">
        <f>G21*'P&amp;L assumptions'!G9</f>
        <v>8029.9438439337491</v>
      </c>
      <c r="H20" s="26">
        <f>H21*'P&amp;L assumptions'!H9</f>
        <v>8832.9382283271243</v>
      </c>
      <c r="I20" s="26">
        <f>I21*'P&amp;L assumptions'!I9</f>
        <v>9716.2320511598391</v>
      </c>
      <c r="J20" s="26">
        <f>J21*'P&amp;L assumptions'!J9</f>
        <v>10687.855256275825</v>
      </c>
      <c r="K20" s="26">
        <f>K21*'P&amp;L assumptions'!K9</f>
        <v>11756.640781903407</v>
      </c>
    </row>
    <row r="21" spans="2:11" ht="14.25" customHeight="1" x14ac:dyDescent="0.25">
      <c r="B21" s="33" t="s">
        <v>101</v>
      </c>
      <c r="C21" s="36">
        <f>C20/'P&amp;L assumptions'!C9</f>
        <v>3.368474950574589E-2</v>
      </c>
      <c r="D21" s="36">
        <f>D20/'P&amp;L assumptions'!D9</f>
        <v>3.0751868856630889E-2</v>
      </c>
      <c r="E21" s="36">
        <f>E20/'P&amp;L assumptions'!E9</f>
        <v>4.0666166387016318E-2</v>
      </c>
      <c r="F21" s="11"/>
      <c r="G21" s="29">
        <f>AVERAGE($C$21:$E$21)</f>
        <v>3.5034261583131034E-2</v>
      </c>
      <c r="H21" s="29">
        <f t="shared" ref="H21:K21" si="5">AVERAGE($C$21:$E$21)</f>
        <v>3.5034261583131034E-2</v>
      </c>
      <c r="I21" s="29">
        <f t="shared" si="5"/>
        <v>3.5034261583131034E-2</v>
      </c>
      <c r="J21" s="29">
        <f t="shared" si="5"/>
        <v>3.5034261583131034E-2</v>
      </c>
      <c r="K21" s="29">
        <f t="shared" si="5"/>
        <v>3.5034261583131034E-2</v>
      </c>
    </row>
    <row r="22" spans="2:11" ht="14.25" customHeight="1" x14ac:dyDescent="0.25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2:11" ht="14.25" customHeight="1" x14ac:dyDescent="0.25"/>
    <row r="24" spans="2:11" ht="14.25" customHeight="1" x14ac:dyDescent="0.25"/>
    <row r="25" spans="2:11" ht="14.25" customHeight="1" x14ac:dyDescent="0.25"/>
    <row r="26" spans="2:11" ht="14.25" customHeight="1" x14ac:dyDescent="0.25"/>
    <row r="27" spans="2:11" ht="14.25" customHeight="1" x14ac:dyDescent="0.25"/>
    <row r="28" spans="2:11" ht="14.25" customHeight="1" x14ac:dyDescent="0.25"/>
    <row r="29" spans="2:11" ht="14.25" customHeight="1" x14ac:dyDescent="0.25"/>
    <row r="30" spans="2:11" ht="14.25" customHeight="1" x14ac:dyDescent="0.25"/>
    <row r="31" spans="2:11" ht="14.25" customHeight="1" x14ac:dyDescent="0.25"/>
    <row r="32" spans="2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4"/>
  <sheetViews>
    <sheetView showGridLines="0" zoomScale="130" zoomScaleNormal="130" workbookViewId="0">
      <selection activeCell="K20" sqref="K20"/>
    </sheetView>
  </sheetViews>
  <sheetFormatPr defaultColWidth="12.59765625" defaultRowHeight="15" customHeight="1" x14ac:dyDescent="0.25"/>
  <cols>
    <col min="1" max="1" width="2.19921875" customWidth="1"/>
    <col min="2" max="2" width="16.8984375" customWidth="1"/>
    <col min="3" max="4" width="9.09765625" bestFit="1" customWidth="1"/>
    <col min="5" max="5" width="9.69921875" customWidth="1"/>
    <col min="6" max="6" width="2.09765625" customWidth="1"/>
    <col min="7" max="11" width="9.09765625" bestFit="1" customWidth="1"/>
    <col min="12" max="26" width="14.3984375" customWidth="1"/>
  </cols>
  <sheetData>
    <row r="1" spans="1:26" ht="15" customHeight="1" x14ac:dyDescent="0.3">
      <c r="A1" s="37"/>
      <c r="B1" s="10" t="s">
        <v>8</v>
      </c>
      <c r="C1" s="38"/>
      <c r="D1" s="38"/>
      <c r="E1" s="38"/>
      <c r="F1" s="38"/>
      <c r="G1" s="38"/>
      <c r="H1" s="38"/>
      <c r="I1" s="38"/>
      <c r="J1" s="38"/>
      <c r="K1" s="38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3.8" x14ac:dyDescent="0.25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25.2" customHeight="1" x14ac:dyDescent="0.25">
      <c r="A3" s="37"/>
      <c r="B3" s="22" t="s">
        <v>68</v>
      </c>
      <c r="C3" s="23" t="s">
        <v>69</v>
      </c>
      <c r="D3" s="23" t="s">
        <v>70</v>
      </c>
      <c r="E3" s="23" t="s">
        <v>71</v>
      </c>
      <c r="F3" s="38"/>
      <c r="G3" s="25" t="s">
        <v>72</v>
      </c>
      <c r="H3" s="25" t="s">
        <v>73</v>
      </c>
      <c r="I3" s="25" t="s">
        <v>74</v>
      </c>
      <c r="J3" s="25" t="s">
        <v>75</v>
      </c>
      <c r="K3" s="25" t="s">
        <v>76</v>
      </c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3.8" x14ac:dyDescent="0.25">
      <c r="A4" s="37"/>
      <c r="B4" s="11" t="s">
        <v>77</v>
      </c>
      <c r="C4" s="27">
        <f ca="1">SUMIF('P&amp;L assumptions'!$A:$B,'P&amp;L '!$B4, 'P&amp;L assumptions'!C:C)</f>
        <v>177203</v>
      </c>
      <c r="D4" s="27">
        <f ca="1">SUMIF('P&amp;L assumptions'!$A:$B,'P&amp;L '!$B4, 'P&amp;L assumptions'!D:D)</f>
        <v>188618</v>
      </c>
      <c r="E4" s="27">
        <f ca="1">SUMIF('P&amp;L assumptions'!$A:$B,'P&amp;L '!$B4, 'P&amp;L assumptions'!E:E)</f>
        <v>208366</v>
      </c>
      <c r="F4" s="27"/>
      <c r="G4" s="27">
        <f ca="1">SUMIF('P&amp;L assumptions'!$A:$B,'P&amp;L '!$B4, 'P&amp;L assumptions'!G:G)</f>
        <v>229202.6</v>
      </c>
      <c r="H4" s="27">
        <f ca="1">SUMIF('P&amp;L assumptions'!$A:$B,'P&amp;L '!$B4, 'P&amp;L assumptions'!H:H)</f>
        <v>252122.86000000002</v>
      </c>
      <c r="I4" s="27">
        <f ca="1">SUMIF('P&amp;L assumptions'!$A:$B,'P&amp;L '!$B4, 'P&amp;L assumptions'!I:I)</f>
        <v>277335.14600000007</v>
      </c>
      <c r="J4" s="27">
        <f ca="1">SUMIF('P&amp;L assumptions'!$A:$B,'P&amp;L '!$B4, 'P&amp;L assumptions'!J:J)</f>
        <v>305068.66060000012</v>
      </c>
      <c r="K4" s="27">
        <f ca="1">SUMIF('P&amp;L assumptions'!$A:$B,'P&amp;L '!$B4, 'P&amp;L assumptions'!K:K)</f>
        <v>335575.52666000015</v>
      </c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3.8" x14ac:dyDescent="0.25">
      <c r="A5" s="37"/>
      <c r="B5" s="11" t="s">
        <v>79</v>
      </c>
      <c r="C5" s="27">
        <f ca="1">SUMIF('P&amp;L assumptions'!$A:$B,'P&amp;L '!$B5, 'P&amp;L assumptions'!C:C)</f>
        <v>3520</v>
      </c>
      <c r="D5" s="27">
        <f ca="1">SUMIF('P&amp;L assumptions'!$A:$B,'P&amp;L '!$B5, 'P&amp;L assumptions'!D:D)</f>
        <v>2416</v>
      </c>
      <c r="E5" s="27">
        <f ca="1">SUMIF('P&amp;L assumptions'!$A:$B,'P&amp;L '!$B5, 'P&amp;L assumptions'!E:E)</f>
        <v>2585</v>
      </c>
      <c r="F5" s="27"/>
      <c r="G5" s="27">
        <f ca="1">SUMIF('P&amp;L assumptions'!$A:$B,'P&amp;L '!$B5, 'P&amp;L assumptions'!G:G)</f>
        <v>2585</v>
      </c>
      <c r="H5" s="27">
        <f ca="1">SUMIF('P&amp;L assumptions'!$A:$B,'P&amp;L '!$B5, 'P&amp;L assumptions'!H:H)</f>
        <v>2585</v>
      </c>
      <c r="I5" s="27">
        <f ca="1">SUMIF('P&amp;L assumptions'!$A:$B,'P&amp;L '!$B5, 'P&amp;L assumptions'!I:I)</f>
        <v>2585</v>
      </c>
      <c r="J5" s="27">
        <f ca="1">SUMIF('P&amp;L assumptions'!$A:$B,'P&amp;L '!$B5, 'P&amp;L assumptions'!J:J)</f>
        <v>2585</v>
      </c>
      <c r="K5" s="27">
        <f ca="1">SUMIF('P&amp;L assumptions'!$A:$B,'P&amp;L '!$B5, 'P&amp;L assumptions'!K:K)</f>
        <v>2585</v>
      </c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3.8" x14ac:dyDescent="0.25">
      <c r="A6" s="37"/>
      <c r="B6" s="82" t="s">
        <v>102</v>
      </c>
      <c r="C6" s="82">
        <f ca="1">C4+C5</f>
        <v>180723</v>
      </c>
      <c r="D6" s="82">
        <f t="shared" ref="D6:K6" ca="1" si="0">D4+D5</f>
        <v>191034</v>
      </c>
      <c r="E6" s="82">
        <f t="shared" ca="1" si="0"/>
        <v>210951</v>
      </c>
      <c r="F6" s="82"/>
      <c r="G6" s="82">
        <f t="shared" ca="1" si="0"/>
        <v>231787.6</v>
      </c>
      <c r="H6" s="82">
        <f t="shared" ca="1" si="0"/>
        <v>254707.86000000002</v>
      </c>
      <c r="I6" s="82">
        <f t="shared" ca="1" si="0"/>
        <v>279920.14600000007</v>
      </c>
      <c r="J6" s="82">
        <f t="shared" ca="1" si="0"/>
        <v>307653.66060000012</v>
      </c>
      <c r="K6" s="82">
        <f t="shared" ca="1" si="0"/>
        <v>338160.52666000015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3.8" x14ac:dyDescent="0.25">
      <c r="A7" s="37"/>
      <c r="B7" s="11" t="s">
        <v>84</v>
      </c>
      <c r="C7" s="27">
        <f ca="1">SUMIF('P&amp;L assumptions'!$A:$B,'P&amp;L '!$B7, 'P&amp;L assumptions'!C:C)</f>
        <v>-142394.36746666671</v>
      </c>
      <c r="D7" s="27">
        <f ca="1">SUMIF('P&amp;L assumptions'!$A:$B,'P&amp;L '!$B7, 'P&amp;L assumptions'!D:D)</f>
        <v>-150572.16639999999</v>
      </c>
      <c r="E7" s="27">
        <f ca="1">SUMIF('P&amp;L assumptions'!$A:$B,'P&amp;L '!$B7, 'P&amp;L assumptions'!E:E)</f>
        <v>-157523.118425397</v>
      </c>
      <c r="F7" s="27"/>
      <c r="G7" s="27">
        <f ca="1">SUMIF('P&amp;L assumptions'!$A:$B,'P&amp;L '!$B7, 'P&amp;L assumptions'!G:G)</f>
        <v>-174193.976</v>
      </c>
      <c r="H7" s="27">
        <f ca="1">SUMIF('P&amp;L assumptions'!$A:$B,'P&amp;L '!$B7, 'P&amp;L assumptions'!H:H)</f>
        <v>-191613.37360000002</v>
      </c>
      <c r="I7" s="27">
        <f ca="1">SUMIF('P&amp;L assumptions'!$A:$B,'P&amp;L '!$B7, 'P&amp;L assumptions'!I:I)</f>
        <v>-210774.71096000005</v>
      </c>
      <c r="J7" s="27">
        <f ca="1">SUMIF('P&amp;L assumptions'!$A:$B,'P&amp;L '!$B7, 'P&amp;L assumptions'!J:J)</f>
        <v>-231852.18205600011</v>
      </c>
      <c r="K7" s="27">
        <f ca="1">SUMIF('P&amp;L assumptions'!$A:$B,'P&amp;L '!$B7, 'P&amp;L assumptions'!K:K)</f>
        <v>-255037.40026160012</v>
      </c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3.8" x14ac:dyDescent="0.25">
      <c r="A8" s="37"/>
      <c r="B8" s="39" t="s">
        <v>103</v>
      </c>
      <c r="C8" s="83">
        <f ca="1">C7+C6</f>
        <v>38328.632533333293</v>
      </c>
      <c r="D8" s="83">
        <f t="shared" ref="D8:K8" ca="1" si="1">D7+D6</f>
        <v>40461.833600000013</v>
      </c>
      <c r="E8" s="83">
        <f t="shared" ca="1" si="1"/>
        <v>53427.881574603001</v>
      </c>
      <c r="F8" s="83"/>
      <c r="G8" s="83">
        <f t="shared" ca="1" si="1"/>
        <v>57593.624000000011</v>
      </c>
      <c r="H8" s="83">
        <f t="shared" ca="1" si="1"/>
        <v>63094.486399999994</v>
      </c>
      <c r="I8" s="83">
        <f t="shared" ca="1" si="1"/>
        <v>69145.435040000011</v>
      </c>
      <c r="J8" s="83">
        <f t="shared" ca="1" si="1"/>
        <v>75801.478544000012</v>
      </c>
      <c r="K8" s="83">
        <f t="shared" ca="1" si="1"/>
        <v>83123.126398400025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3.8" x14ac:dyDescent="0.25">
      <c r="A9" s="37"/>
      <c r="B9" s="11" t="s">
        <v>86</v>
      </c>
      <c r="C9" s="27">
        <f ca="1">SUMIF('P&amp;L assumptions'!$A:$B,'P&amp;L '!$B9, 'P&amp;L assumptions'!C:C)</f>
        <v>-18011.315200000005</v>
      </c>
      <c r="D9" s="27">
        <f ca="1">SUMIF('P&amp;L assumptions'!$A:$B,'P&amp;L '!$B9, 'P&amp;L assumptions'!D:D)</f>
        <v>-19247.897599999997</v>
      </c>
      <c r="E9" s="27">
        <f ca="1">SUMIF('P&amp;L assumptions'!$A:$B,'P&amp;L '!$B9, 'P&amp;L assumptions'!E:E)</f>
        <v>-23867.008000000009</v>
      </c>
      <c r="F9" s="27"/>
      <c r="G9" s="27">
        <f ca="1">SUMIF('P&amp;L assumptions'!$A:$B,'P&amp;L '!$B9, 'P&amp;L assumptions'!G:G)</f>
        <v>-22920.260000000002</v>
      </c>
      <c r="H9" s="27">
        <f ca="1">SUMIF('P&amp;L assumptions'!$A:$B,'P&amp;L '!$B9, 'P&amp;L assumptions'!H:H)</f>
        <v>-25212.286000000004</v>
      </c>
      <c r="I9" s="27">
        <f ca="1">SUMIF('P&amp;L assumptions'!$A:$B,'P&amp;L '!$B9, 'P&amp;L assumptions'!I:I)</f>
        <v>-27733.51460000001</v>
      </c>
      <c r="J9" s="27">
        <f ca="1">SUMIF('P&amp;L assumptions'!$A:$B,'P&amp;L '!$B9, 'P&amp;L assumptions'!J:J)</f>
        <v>-30506.866060000015</v>
      </c>
      <c r="K9" s="27">
        <f ca="1">SUMIF('P&amp;L assumptions'!$A:$B,'P&amp;L '!$B9, 'P&amp;L assumptions'!K:K)</f>
        <v>-33557.552666000018</v>
      </c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3.8" x14ac:dyDescent="0.25">
      <c r="A10" s="37"/>
      <c r="B10" s="39" t="s">
        <v>25</v>
      </c>
      <c r="C10" s="83">
        <f ca="1">C9+C8</f>
        <v>20317.317333333289</v>
      </c>
      <c r="D10" s="83">
        <f t="shared" ref="D10:K10" ca="1" si="2">D9+D8</f>
        <v>21213.936000000016</v>
      </c>
      <c r="E10" s="83">
        <f t="shared" ca="1" si="2"/>
        <v>29560.873574602992</v>
      </c>
      <c r="F10" s="83"/>
      <c r="G10" s="83">
        <f t="shared" ca="1" si="2"/>
        <v>34673.364000000009</v>
      </c>
      <c r="H10" s="83">
        <f t="shared" ca="1" si="2"/>
        <v>37882.200399999987</v>
      </c>
      <c r="I10" s="83">
        <f t="shared" ca="1" si="2"/>
        <v>41411.920440000002</v>
      </c>
      <c r="J10" s="83">
        <f t="shared" ca="1" si="2"/>
        <v>45294.612483999997</v>
      </c>
      <c r="K10" s="83">
        <f t="shared" ca="1" si="2"/>
        <v>49565.573732400007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3.8" x14ac:dyDescent="0.25">
      <c r="A11" s="37"/>
      <c r="B11" s="11" t="s">
        <v>26</v>
      </c>
      <c r="C11" s="27">
        <f ca="1">SUMIF('P&amp;L assumptions'!$A:$B,'P&amp;L '!$B11, 'P&amp;L assumptions'!C:C)</f>
        <v>-2907.8000000000006</v>
      </c>
      <c r="D11" s="27">
        <f ca="1">SUMIF('P&amp;L assumptions'!$A:$B,'P&amp;L '!$B11, 'P&amp;L assumptions'!D:D)</f>
        <v>-4649.8</v>
      </c>
      <c r="E11" s="27">
        <f ca="1">SUMIF('P&amp;L assumptions'!$A:$B,'P&amp;L '!$B11, 'P&amp;L assumptions'!E:E)</f>
        <v>-6430.6600000000008</v>
      </c>
      <c r="F11" s="84"/>
      <c r="G11" s="27">
        <f ca="1">SUMIF('P&amp;L assumptions'!$A:$B,'P&amp;L '!$B11, 'P&amp;L assumptions'!G:G)</f>
        <v>-4584.0520000000006</v>
      </c>
      <c r="H11" s="27">
        <f ca="1">SUMIF('P&amp;L assumptions'!$A:$B,'P&amp;L '!$B11, 'P&amp;L assumptions'!H:H)</f>
        <v>-5042.4572000000007</v>
      </c>
      <c r="I11" s="27">
        <f ca="1">SUMIF('P&amp;L assumptions'!$A:$B,'P&amp;L '!$B11, 'P&amp;L assumptions'!I:I)</f>
        <v>-5546.7029200000015</v>
      </c>
      <c r="J11" s="27">
        <f ca="1">SUMIF('P&amp;L assumptions'!$A:$B,'P&amp;L '!$B11, 'P&amp;L assumptions'!J:J)</f>
        <v>-6101.3732120000022</v>
      </c>
      <c r="K11" s="27">
        <f ca="1">SUMIF('P&amp;L assumptions'!$A:$B,'P&amp;L '!$B11, 'P&amp;L assumptions'!K:K)</f>
        <v>-6711.510533200003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3.8" x14ac:dyDescent="0.25">
      <c r="A12" s="37"/>
      <c r="B12" s="39" t="s">
        <v>27</v>
      </c>
      <c r="C12" s="83">
        <f ca="1">C11+C10</f>
        <v>17409.51733333329</v>
      </c>
      <c r="D12" s="83">
        <f t="shared" ref="D12:K12" ca="1" si="3">D11+D10</f>
        <v>16564.136000000017</v>
      </c>
      <c r="E12" s="83">
        <f t="shared" ca="1" si="3"/>
        <v>23130.213574602993</v>
      </c>
      <c r="F12" s="83"/>
      <c r="G12" s="83">
        <f t="shared" ca="1" si="3"/>
        <v>30089.312000000009</v>
      </c>
      <c r="H12" s="83">
        <f t="shared" ca="1" si="3"/>
        <v>32839.743199999983</v>
      </c>
      <c r="I12" s="83">
        <f t="shared" ca="1" si="3"/>
        <v>35865.217519999998</v>
      </c>
      <c r="J12" s="83">
        <f t="shared" ca="1" si="3"/>
        <v>39193.239271999992</v>
      </c>
      <c r="K12" s="83">
        <f t="shared" ca="1" si="3"/>
        <v>42854.063199200005</v>
      </c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3.8" x14ac:dyDescent="0.25">
      <c r="A13" s="37"/>
      <c r="B13" s="11" t="s">
        <v>87</v>
      </c>
      <c r="C13" s="27">
        <f ca="1">SUMIF('P&amp;L assumptions'!$A:$B,'P&amp;L '!$B13, 'P&amp;L assumptions'!C:C)</f>
        <v>-1266.3000000000002</v>
      </c>
      <c r="D13" s="27">
        <f ca="1">SUMIF('P&amp;L assumptions'!$A:$B,'P&amp;L '!$B13, 'P&amp;L assumptions'!D:D)</f>
        <v>-2190.9</v>
      </c>
      <c r="E13" s="27">
        <f ca="1">SUMIF('P&amp;L assumptions'!$A:$B,'P&amp;L '!$B13, 'P&amp;L assumptions'!E:E)</f>
        <v>-2663.92</v>
      </c>
      <c r="F13" s="84"/>
      <c r="G13" s="27">
        <f ca="1">SUMIF('P&amp;L assumptions'!$A:$B,'P&amp;L '!$B13, 'P&amp;L assumptions'!G:G)</f>
        <v>-2663.92</v>
      </c>
      <c r="H13" s="27">
        <f ca="1">SUMIF('P&amp;L assumptions'!$A:$B,'P&amp;L '!$B13, 'P&amp;L assumptions'!H:H)</f>
        <v>-2663.92</v>
      </c>
      <c r="I13" s="27">
        <f ca="1">SUMIF('P&amp;L assumptions'!$A:$B,'P&amp;L '!$B13, 'P&amp;L assumptions'!I:I)</f>
        <v>-2663.92</v>
      </c>
      <c r="J13" s="27">
        <f ca="1">SUMIF('P&amp;L assumptions'!$A:$B,'P&amp;L '!$B13, 'P&amp;L assumptions'!J:J)</f>
        <v>-2663.92</v>
      </c>
      <c r="K13" s="27">
        <f ca="1">SUMIF('P&amp;L assumptions'!$A:$B,'P&amp;L '!$B13, 'P&amp;L assumptions'!K:K)</f>
        <v>-2663.92</v>
      </c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3.8" x14ac:dyDescent="0.25">
      <c r="A14" s="37"/>
      <c r="B14" s="11" t="s">
        <v>29</v>
      </c>
      <c r="C14" s="27">
        <f ca="1">SUMIF('P&amp;L assumptions'!$A:$B,'P&amp;L '!$B14, 'P&amp;L assumptions'!C:C)</f>
        <v>-317.58000000000004</v>
      </c>
      <c r="D14" s="27">
        <f ca="1">SUMIF('P&amp;L assumptions'!$A:$B,'P&amp;L '!$B14, 'P&amp;L assumptions'!D:D)</f>
        <v>-864.30000000000007</v>
      </c>
      <c r="E14" s="27">
        <f ca="1">SUMIF('P&amp;L assumptions'!$A:$B,'P&amp;L '!$B14, 'P&amp;L assumptions'!E:E)</f>
        <v>-320.26</v>
      </c>
      <c r="F14" s="84"/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3.8" x14ac:dyDescent="0.25">
      <c r="A15" s="37"/>
      <c r="B15" s="39" t="s">
        <v>30</v>
      </c>
      <c r="C15" s="83">
        <f ca="1">C14+C13+C12</f>
        <v>15825.637333333289</v>
      </c>
      <c r="D15" s="83">
        <f t="shared" ref="D15:K15" ca="1" si="4">D14+D13+D12</f>
        <v>13508.936000000016</v>
      </c>
      <c r="E15" s="83">
        <f t="shared" ca="1" si="4"/>
        <v>20146.033574602992</v>
      </c>
      <c r="F15" s="83"/>
      <c r="G15" s="83">
        <f t="shared" ca="1" si="4"/>
        <v>27425.392000000007</v>
      </c>
      <c r="H15" s="83">
        <f t="shared" ca="1" si="4"/>
        <v>30175.823199999984</v>
      </c>
      <c r="I15" s="83">
        <f t="shared" ca="1" si="4"/>
        <v>33201.29752</v>
      </c>
      <c r="J15" s="83">
        <f t="shared" ca="1" si="4"/>
        <v>36529.319271999993</v>
      </c>
      <c r="K15" s="83">
        <f t="shared" ca="1" si="4"/>
        <v>40190.143199200007</v>
      </c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3.8" x14ac:dyDescent="0.25">
      <c r="A16" s="37"/>
      <c r="B16" s="11" t="s">
        <v>104</v>
      </c>
      <c r="C16" s="85">
        <f ca="1">C17/C15</f>
        <v>-0.24048168928931249</v>
      </c>
      <c r="D16" s="85">
        <f t="shared" ref="D16:E16" ca="1" si="5">D17/D15</f>
        <v>-0.22579069143565389</v>
      </c>
      <c r="E16" s="85">
        <f t="shared" ca="1" si="5"/>
        <v>-0.18936134430001206</v>
      </c>
      <c r="F16" s="85"/>
      <c r="G16" s="29">
        <f>'P&amp;L assumptions'!G52</f>
        <v>-0.18</v>
      </c>
      <c r="H16" s="29">
        <f>'P&amp;L assumptions'!H52</f>
        <v>-0.18</v>
      </c>
      <c r="I16" s="29">
        <f>'P&amp;L assumptions'!I52</f>
        <v>-0.18</v>
      </c>
      <c r="J16" s="29">
        <f>'P&amp;L assumptions'!J52</f>
        <v>-0.18</v>
      </c>
      <c r="K16" s="29">
        <f>'P&amp;L assumptions'!K52</f>
        <v>-0.18</v>
      </c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3.8" x14ac:dyDescent="0.25">
      <c r="A17" s="37"/>
      <c r="B17" s="11" t="s">
        <v>31</v>
      </c>
      <c r="C17" s="27">
        <f ca="1">SUMIF('P&amp;L assumptions'!$A:$B,'P&amp;L '!$B17, 'P&amp;L assumptions'!C:C)</f>
        <v>-3805.7759999999998</v>
      </c>
      <c r="D17" s="27">
        <f ca="1">SUMIF('P&amp;L assumptions'!$A:$B,'P&amp;L '!$B17, 'P&amp;L assumptions'!D:D)</f>
        <v>-3050.192</v>
      </c>
      <c r="E17" s="27">
        <f ca="1">SUMIF('P&amp;L assumptions'!$A:$B,'P&amp;L '!$B17, 'P&amp;L assumptions'!E:E)</f>
        <v>-3814.88</v>
      </c>
      <c r="F17" s="84"/>
      <c r="G17" s="84">
        <f ca="1">G15*G16</f>
        <v>-4936.570560000001</v>
      </c>
      <c r="H17" s="84">
        <f t="shared" ref="H17:K17" ca="1" si="6">H15*H16</f>
        <v>-5431.648175999997</v>
      </c>
      <c r="I17" s="84">
        <f t="shared" ca="1" si="6"/>
        <v>-5976.2335536000001</v>
      </c>
      <c r="J17" s="84">
        <f t="shared" ca="1" si="6"/>
        <v>-6575.2774689599983</v>
      </c>
      <c r="K17" s="84">
        <f t="shared" ca="1" si="6"/>
        <v>-7234.2257758560008</v>
      </c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3.8" x14ac:dyDescent="0.25">
      <c r="A18" s="37"/>
      <c r="B18" s="42" t="s">
        <v>105</v>
      </c>
      <c r="C18" s="43">
        <f ca="1">C17+C15</f>
        <v>12019.861333333289</v>
      </c>
      <c r="D18" s="43">
        <f t="shared" ref="D18:K18" ca="1" si="7">D17+D15</f>
        <v>10458.744000000017</v>
      </c>
      <c r="E18" s="43">
        <f t="shared" ca="1" si="7"/>
        <v>16331.153574602991</v>
      </c>
      <c r="F18" s="43"/>
      <c r="G18" s="43">
        <f t="shared" ca="1" si="7"/>
        <v>22488.821440000007</v>
      </c>
      <c r="H18" s="43">
        <f t="shared" ca="1" si="7"/>
        <v>24744.175023999989</v>
      </c>
      <c r="I18" s="43">
        <f t="shared" ca="1" si="7"/>
        <v>27225.063966400001</v>
      </c>
      <c r="J18" s="43">
        <f t="shared" ca="1" si="7"/>
        <v>29954.041803039996</v>
      </c>
      <c r="K18" s="43">
        <f t="shared" ca="1" si="7"/>
        <v>32955.917423344006</v>
      </c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3.8" x14ac:dyDescent="0.25">
      <c r="A19" s="37"/>
      <c r="B19" s="38"/>
      <c r="C19" s="41"/>
      <c r="D19" s="41"/>
      <c r="E19" s="41"/>
      <c r="F19" s="41"/>
      <c r="G19" s="38"/>
      <c r="H19" s="38"/>
      <c r="I19" s="38"/>
      <c r="J19" s="38"/>
      <c r="K19" s="38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3.8" x14ac:dyDescent="0.25">
      <c r="A20" s="37"/>
      <c r="B20" s="38"/>
      <c r="C20" s="41"/>
      <c r="D20" s="41"/>
      <c r="E20" s="41"/>
      <c r="F20" s="41"/>
      <c r="G20" s="38"/>
      <c r="H20" s="38"/>
      <c r="I20" s="38"/>
      <c r="J20" s="38"/>
      <c r="K20" s="38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3.8" x14ac:dyDescent="0.25">
      <c r="A21" s="37"/>
      <c r="B21" s="38"/>
      <c r="C21" s="41"/>
      <c r="D21" s="41"/>
      <c r="E21" s="41"/>
      <c r="F21" s="41"/>
      <c r="G21" s="44"/>
      <c r="H21" s="44"/>
      <c r="I21" s="44"/>
      <c r="J21" s="44"/>
      <c r="K21" s="44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3.8" x14ac:dyDescent="0.25">
      <c r="A22" s="37"/>
      <c r="B22" s="38"/>
      <c r="C22" s="41"/>
      <c r="D22" s="41"/>
      <c r="E22" s="41"/>
      <c r="F22" s="41"/>
      <c r="G22" s="38"/>
      <c r="H22" s="38"/>
      <c r="I22" s="38"/>
      <c r="J22" s="38"/>
      <c r="K22" s="38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3.8" x14ac:dyDescent="0.25">
      <c r="A23" s="37"/>
      <c r="B23" s="38"/>
      <c r="C23" s="41"/>
      <c r="D23" s="41"/>
      <c r="E23" s="41"/>
      <c r="F23" s="41"/>
      <c r="G23" s="41"/>
      <c r="H23" s="41"/>
      <c r="I23" s="41"/>
      <c r="J23" s="41"/>
      <c r="K23" s="41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3.8" x14ac:dyDescent="0.25">
      <c r="A24" s="37"/>
      <c r="B24" s="38"/>
      <c r="C24" s="41"/>
      <c r="D24" s="41"/>
      <c r="E24" s="41"/>
      <c r="F24" s="41"/>
      <c r="G24" s="38"/>
      <c r="H24" s="38"/>
      <c r="I24" s="38"/>
      <c r="J24" s="38"/>
      <c r="K24" s="38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3.8" x14ac:dyDescent="0.25">
      <c r="A25" s="37"/>
      <c r="B25" s="38"/>
      <c r="C25" s="41"/>
      <c r="D25" s="41"/>
      <c r="E25" s="41"/>
      <c r="F25" s="41"/>
      <c r="G25" s="38"/>
      <c r="H25" s="38"/>
      <c r="I25" s="38"/>
      <c r="J25" s="38"/>
      <c r="K25" s="38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3.8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3.8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3.8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3.8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3.8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3.8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3.8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3.8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3.8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3.8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3.8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3.8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3.8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3.8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3.8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3.8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3.8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3.8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3.8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3.8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3.8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3.8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3.8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3.8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3.8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3.8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3.8" x14ac:dyDescent="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3.8" x14ac:dyDescent="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3.8" x14ac:dyDescent="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3.8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3.8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3.8" x14ac:dyDescent="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3.8" x14ac:dyDescent="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3.8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3.8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3.8" x14ac:dyDescent="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3.8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3.8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3.8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3.8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3.8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3.8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3.8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3.8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3.8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3.8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3.8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3.8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3.8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3.8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3.8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3.8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3.8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3.8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3.8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3.8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3.8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3.8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3.8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3.8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3.8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3.8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3.8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3.8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3.8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3.8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3.8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3.8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3.8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3.8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3.8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3.8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3.8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3.8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3.8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3.8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3.8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3.8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3.8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3.8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3.8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3.8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3.8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3.8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3.8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3.8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3.8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3.8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3.8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3.8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3.8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3.8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3.8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3.8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3.8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3.8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3.8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3.8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3.8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3.8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3.8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3.8" x14ac:dyDescent="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3.8" x14ac:dyDescent="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3.8" x14ac:dyDescent="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3.8" x14ac:dyDescent="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3.8" x14ac:dyDescent="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3.8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3.8" x14ac:dyDescent="0.2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3.8" x14ac:dyDescent="0.2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3.8" x14ac:dyDescent="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3.8" x14ac:dyDescent="0.2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3.8" x14ac:dyDescent="0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3.8" x14ac:dyDescent="0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3.8" x14ac:dyDescent="0.2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3.8" x14ac:dyDescent="0.2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3.8" x14ac:dyDescent="0.2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3.8" x14ac:dyDescent="0.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3.8" x14ac:dyDescent="0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3.8" x14ac:dyDescent="0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3.8" x14ac:dyDescent="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3.8" x14ac:dyDescent="0.2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3.8" x14ac:dyDescent="0.2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3.8" x14ac:dyDescent="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3.8" x14ac:dyDescent="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3.8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3.8" x14ac:dyDescent="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3.8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3.8" x14ac:dyDescent="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3.8" x14ac:dyDescent="0.2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3.8" x14ac:dyDescent="0.2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3.8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3.8" x14ac:dyDescent="0.2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3.8" x14ac:dyDescent="0.2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3.8" x14ac:dyDescent="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3.8" x14ac:dyDescent="0.2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3.8" x14ac:dyDescent="0.2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3.8" x14ac:dyDescent="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3.8" x14ac:dyDescent="0.2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3.8" x14ac:dyDescent="0.2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3.8" x14ac:dyDescent="0.2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3.8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3.8" x14ac:dyDescent="0.2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3.8" x14ac:dyDescent="0.2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3.8" x14ac:dyDescent="0.2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3.8" x14ac:dyDescent="0.2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3.8" x14ac:dyDescent="0.2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3.8" x14ac:dyDescent="0.2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3.8" x14ac:dyDescent="0.2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3.8" x14ac:dyDescent="0.2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3.8" x14ac:dyDescent="0.2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3.8" x14ac:dyDescent="0.2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3.8" x14ac:dyDescent="0.2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3.8" x14ac:dyDescent="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3.8" x14ac:dyDescent="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3.8" x14ac:dyDescent="0.2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3.8" x14ac:dyDescent="0.2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3.8" x14ac:dyDescent="0.2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3.8" x14ac:dyDescent="0.2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3.8" x14ac:dyDescent="0.2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3.8" x14ac:dyDescent="0.2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3.8" x14ac:dyDescent="0.2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3.8" x14ac:dyDescent="0.2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3.8" x14ac:dyDescent="0.2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3.8" x14ac:dyDescent="0.2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3.8" x14ac:dyDescent="0.2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3.8" x14ac:dyDescent="0.2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3.8" x14ac:dyDescent="0.2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3.8" x14ac:dyDescent="0.2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3.8" x14ac:dyDescent="0.2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3.8" x14ac:dyDescent="0.2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3.8" x14ac:dyDescent="0.2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3.8" x14ac:dyDescent="0.2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3.8" x14ac:dyDescent="0.2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3.8" x14ac:dyDescent="0.2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3.8" x14ac:dyDescent="0.2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3.8" x14ac:dyDescent="0.2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3.8" x14ac:dyDescent="0.2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3.8" x14ac:dyDescent="0.2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3.8" x14ac:dyDescent="0.2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3.8" x14ac:dyDescent="0.2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3.8" x14ac:dyDescent="0.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3.8" x14ac:dyDescent="0.2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3.8" x14ac:dyDescent="0.2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3.8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3.8" x14ac:dyDescent="0.2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3.8" x14ac:dyDescent="0.2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3.8" x14ac:dyDescent="0.2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3.8" x14ac:dyDescent="0.2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3.8" x14ac:dyDescent="0.2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3.8" x14ac:dyDescent="0.2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3.8" x14ac:dyDescent="0.2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3.8" x14ac:dyDescent="0.2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3.8" x14ac:dyDescent="0.2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3.8" x14ac:dyDescent="0.2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3.8" x14ac:dyDescent="0.2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3.8" x14ac:dyDescent="0.2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3.8" x14ac:dyDescent="0.2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3.8" x14ac:dyDescent="0.2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3.8" x14ac:dyDescent="0.2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3.8" x14ac:dyDescent="0.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3.8" x14ac:dyDescent="0.2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3.8" x14ac:dyDescent="0.2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3.8" x14ac:dyDescent="0.2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3.8" x14ac:dyDescent="0.2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3.8" x14ac:dyDescent="0.2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3.8" x14ac:dyDescent="0.2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3.8" x14ac:dyDescent="0.2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3.8" x14ac:dyDescent="0.2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3.8" x14ac:dyDescent="0.2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3.8" x14ac:dyDescent="0.2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3.8" x14ac:dyDescent="0.2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3.8" x14ac:dyDescent="0.2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3.8" x14ac:dyDescent="0.2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3.8" x14ac:dyDescent="0.2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3.8" x14ac:dyDescent="0.2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3.8" x14ac:dyDescent="0.2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3.8" x14ac:dyDescent="0.2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3.8" x14ac:dyDescent="0.2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3.8" x14ac:dyDescent="0.2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3.8" x14ac:dyDescent="0.2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3.8" x14ac:dyDescent="0.2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3.8" x14ac:dyDescent="0.2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3.8" x14ac:dyDescent="0.2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3.8" x14ac:dyDescent="0.2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3.8" x14ac:dyDescent="0.2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3.8" x14ac:dyDescent="0.2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3.8" x14ac:dyDescent="0.2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3.8" x14ac:dyDescent="0.2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3.8" x14ac:dyDescent="0.2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3.8" x14ac:dyDescent="0.2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3.8" x14ac:dyDescent="0.2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3.8" x14ac:dyDescent="0.2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3.8" x14ac:dyDescent="0.2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3.8" x14ac:dyDescent="0.2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3.8" x14ac:dyDescent="0.2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3.8" x14ac:dyDescent="0.2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3.8" x14ac:dyDescent="0.2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3.8" x14ac:dyDescent="0.2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3.8" x14ac:dyDescent="0.2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3.8" x14ac:dyDescent="0.2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3.8" x14ac:dyDescent="0.2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3.8" x14ac:dyDescent="0.2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3.8" x14ac:dyDescent="0.2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3.8" x14ac:dyDescent="0.2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3.8" x14ac:dyDescent="0.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3.8" x14ac:dyDescent="0.2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3.8" x14ac:dyDescent="0.2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3.8" x14ac:dyDescent="0.2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3.8" x14ac:dyDescent="0.2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3.8" x14ac:dyDescent="0.2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3.8" x14ac:dyDescent="0.2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3.8" x14ac:dyDescent="0.2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3.8" x14ac:dyDescent="0.2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3.8" x14ac:dyDescent="0.2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3.8" x14ac:dyDescent="0.2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3.8" x14ac:dyDescent="0.2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3.8" x14ac:dyDescent="0.2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3.8" x14ac:dyDescent="0.2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3.8" x14ac:dyDescent="0.2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3.8" x14ac:dyDescent="0.2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3.8" x14ac:dyDescent="0.2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3.8" x14ac:dyDescent="0.2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3.8" x14ac:dyDescent="0.2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3.8" x14ac:dyDescent="0.2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3.8" x14ac:dyDescent="0.2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3.8" x14ac:dyDescent="0.2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3.8" x14ac:dyDescent="0.2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3.8" x14ac:dyDescent="0.2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3.8" x14ac:dyDescent="0.2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3.8" x14ac:dyDescent="0.2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3.8" x14ac:dyDescent="0.2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3.8" x14ac:dyDescent="0.2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3.8" x14ac:dyDescent="0.2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3.8" x14ac:dyDescent="0.2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3.8" x14ac:dyDescent="0.2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3.8" x14ac:dyDescent="0.2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3.8" x14ac:dyDescent="0.2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3.8" x14ac:dyDescent="0.2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3.8" x14ac:dyDescent="0.2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3.8" x14ac:dyDescent="0.2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3.8" x14ac:dyDescent="0.2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3.8" x14ac:dyDescent="0.2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3.8" x14ac:dyDescent="0.2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3.8" x14ac:dyDescent="0.2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3.8" x14ac:dyDescent="0.2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3.8" x14ac:dyDescent="0.2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3.8" x14ac:dyDescent="0.2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3.8" x14ac:dyDescent="0.2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3.8" x14ac:dyDescent="0.2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3.8" x14ac:dyDescent="0.2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3.8" x14ac:dyDescent="0.2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3.8" x14ac:dyDescent="0.2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3.8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3.8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3.8" x14ac:dyDescent="0.2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3.8" x14ac:dyDescent="0.2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3.8" x14ac:dyDescent="0.2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3.8" x14ac:dyDescent="0.2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3.8" x14ac:dyDescent="0.2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3.8" x14ac:dyDescent="0.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3.8" x14ac:dyDescent="0.2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3.8" x14ac:dyDescent="0.2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3.8" x14ac:dyDescent="0.2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3.8" x14ac:dyDescent="0.2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3.8" x14ac:dyDescent="0.2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3.8" x14ac:dyDescent="0.2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3.8" x14ac:dyDescent="0.2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3.8" x14ac:dyDescent="0.2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3.8" x14ac:dyDescent="0.2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3.8" x14ac:dyDescent="0.2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3.8" x14ac:dyDescent="0.2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3.8" x14ac:dyDescent="0.2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3.8" x14ac:dyDescent="0.2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3.8" x14ac:dyDescent="0.2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3.8" x14ac:dyDescent="0.2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3.8" x14ac:dyDescent="0.2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3.8" x14ac:dyDescent="0.2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3.8" x14ac:dyDescent="0.2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3.8" x14ac:dyDescent="0.2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3.8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3.8" x14ac:dyDescent="0.2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3.8" x14ac:dyDescent="0.2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3.8" x14ac:dyDescent="0.2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3.8" x14ac:dyDescent="0.2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3.8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3.8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3.8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3.8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3.8" x14ac:dyDescent="0.2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3.8" x14ac:dyDescent="0.2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3.8" x14ac:dyDescent="0.2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3.8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3.8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3.8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3.8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3.8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3.8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3.8" x14ac:dyDescent="0.2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3.8" x14ac:dyDescent="0.2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3.8" x14ac:dyDescent="0.2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3.8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3.8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3.8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3.8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3.8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3.8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3.8" x14ac:dyDescent="0.2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3.8" x14ac:dyDescent="0.2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3.8" x14ac:dyDescent="0.2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3.8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3.8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3.8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3.8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3.8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3.8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3.8" x14ac:dyDescent="0.2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3.8" x14ac:dyDescent="0.2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3.8" x14ac:dyDescent="0.2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3.8" x14ac:dyDescent="0.2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3.8" x14ac:dyDescent="0.2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3.8" x14ac:dyDescent="0.2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3.8" x14ac:dyDescent="0.2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3.8" x14ac:dyDescent="0.2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3.8" x14ac:dyDescent="0.2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3.8" x14ac:dyDescent="0.2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3.8" x14ac:dyDescent="0.2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3.8" x14ac:dyDescent="0.2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3.8" x14ac:dyDescent="0.2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3.8" x14ac:dyDescent="0.2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3.8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3.8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3.8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3.8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3.8" x14ac:dyDescent="0.2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3.8" x14ac:dyDescent="0.2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3.8" x14ac:dyDescent="0.2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3.8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3.8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3.8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3.8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3.8" x14ac:dyDescent="0.2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3.8" x14ac:dyDescent="0.2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3.8" x14ac:dyDescent="0.2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3.8" x14ac:dyDescent="0.2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3.8" x14ac:dyDescent="0.2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3.8" x14ac:dyDescent="0.2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3.8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3.8" x14ac:dyDescent="0.2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3.8" x14ac:dyDescent="0.2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3.8" x14ac:dyDescent="0.2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3.8" x14ac:dyDescent="0.2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3.8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3.8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3.8" x14ac:dyDescent="0.2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3.8" x14ac:dyDescent="0.2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3.8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3.8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3.8" x14ac:dyDescent="0.2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3.8" x14ac:dyDescent="0.2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3.8" x14ac:dyDescent="0.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3.8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3.8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3.8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3.8" x14ac:dyDescent="0.2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3.8" x14ac:dyDescent="0.2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3.8" x14ac:dyDescent="0.2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3.8" x14ac:dyDescent="0.2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3.8" x14ac:dyDescent="0.2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3.8" x14ac:dyDescent="0.2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3.8" x14ac:dyDescent="0.2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3.8" x14ac:dyDescent="0.2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3.8" x14ac:dyDescent="0.2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3.8" x14ac:dyDescent="0.2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3.8" x14ac:dyDescent="0.2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3.8" x14ac:dyDescent="0.2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3.8" x14ac:dyDescent="0.2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3.8" x14ac:dyDescent="0.2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3.8" x14ac:dyDescent="0.2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3.8" x14ac:dyDescent="0.2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3.8" x14ac:dyDescent="0.2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3.8" x14ac:dyDescent="0.2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3.8" x14ac:dyDescent="0.2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3.8" x14ac:dyDescent="0.2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3.8" x14ac:dyDescent="0.2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3.8" x14ac:dyDescent="0.2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3.8" x14ac:dyDescent="0.2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3.8" x14ac:dyDescent="0.2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3.8" x14ac:dyDescent="0.2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3.8" x14ac:dyDescent="0.2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3.8" x14ac:dyDescent="0.2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3.8" x14ac:dyDescent="0.2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3.8" x14ac:dyDescent="0.2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3.8" x14ac:dyDescent="0.2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3.8" x14ac:dyDescent="0.2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3.8" x14ac:dyDescent="0.2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3.8" x14ac:dyDescent="0.2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3.8" x14ac:dyDescent="0.2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3.8" x14ac:dyDescent="0.2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3.8" x14ac:dyDescent="0.2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3.8" x14ac:dyDescent="0.2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3.8" x14ac:dyDescent="0.2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3.8" x14ac:dyDescent="0.2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3.8" x14ac:dyDescent="0.2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3.8" x14ac:dyDescent="0.2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3.8" x14ac:dyDescent="0.2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3.8" x14ac:dyDescent="0.2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3.8" x14ac:dyDescent="0.2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3.8" x14ac:dyDescent="0.2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3.8" x14ac:dyDescent="0.2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3.8" x14ac:dyDescent="0.2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3.8" x14ac:dyDescent="0.2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3.8" x14ac:dyDescent="0.2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3.8" x14ac:dyDescent="0.2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3.8" x14ac:dyDescent="0.2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3.8" x14ac:dyDescent="0.2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3.8" x14ac:dyDescent="0.2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3.8" x14ac:dyDescent="0.2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3.8" x14ac:dyDescent="0.2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3.8" x14ac:dyDescent="0.2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3.8" x14ac:dyDescent="0.2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3.8" x14ac:dyDescent="0.2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3.8" x14ac:dyDescent="0.2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3.8" x14ac:dyDescent="0.2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3.8" x14ac:dyDescent="0.2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3.8" x14ac:dyDescent="0.2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3.8" x14ac:dyDescent="0.2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3.8" x14ac:dyDescent="0.2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3.8" x14ac:dyDescent="0.2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3.8" x14ac:dyDescent="0.2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3.8" x14ac:dyDescent="0.2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3.8" x14ac:dyDescent="0.2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3.8" x14ac:dyDescent="0.2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3.8" x14ac:dyDescent="0.2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3.8" x14ac:dyDescent="0.2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3.8" x14ac:dyDescent="0.2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3.8" x14ac:dyDescent="0.2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3.8" x14ac:dyDescent="0.2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3.8" x14ac:dyDescent="0.2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3.8" x14ac:dyDescent="0.2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3.8" x14ac:dyDescent="0.2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3.8" x14ac:dyDescent="0.2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3.8" x14ac:dyDescent="0.2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3.8" x14ac:dyDescent="0.2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3.8" x14ac:dyDescent="0.2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3.8" x14ac:dyDescent="0.2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3.8" x14ac:dyDescent="0.2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3.8" x14ac:dyDescent="0.2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3.8" x14ac:dyDescent="0.2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3.8" x14ac:dyDescent="0.2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3.8" x14ac:dyDescent="0.2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3.8" x14ac:dyDescent="0.2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3.8" x14ac:dyDescent="0.2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3.8" x14ac:dyDescent="0.2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3.8" x14ac:dyDescent="0.2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3.8" x14ac:dyDescent="0.2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3.8" x14ac:dyDescent="0.2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3.8" x14ac:dyDescent="0.2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3.8" x14ac:dyDescent="0.2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3.8" x14ac:dyDescent="0.2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3.8" x14ac:dyDescent="0.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3.8" x14ac:dyDescent="0.2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3.8" x14ac:dyDescent="0.2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3.8" x14ac:dyDescent="0.2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3.8" x14ac:dyDescent="0.2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3.8" x14ac:dyDescent="0.2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3.8" x14ac:dyDescent="0.2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3.8" x14ac:dyDescent="0.2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3.8" x14ac:dyDescent="0.2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3.8" x14ac:dyDescent="0.2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3.8" x14ac:dyDescent="0.2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3.8" x14ac:dyDescent="0.2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3.8" x14ac:dyDescent="0.2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3.8" x14ac:dyDescent="0.2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3.8" x14ac:dyDescent="0.2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3.8" x14ac:dyDescent="0.2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3.8" x14ac:dyDescent="0.2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3.8" x14ac:dyDescent="0.2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3.8" x14ac:dyDescent="0.2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3.8" x14ac:dyDescent="0.2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3.8" x14ac:dyDescent="0.2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3.8" x14ac:dyDescent="0.2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3.8" x14ac:dyDescent="0.2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3.8" x14ac:dyDescent="0.2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3.8" x14ac:dyDescent="0.2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3.8" x14ac:dyDescent="0.2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3.8" x14ac:dyDescent="0.2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3.8" x14ac:dyDescent="0.2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3.8" x14ac:dyDescent="0.2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3.8" x14ac:dyDescent="0.2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3.8" x14ac:dyDescent="0.2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3.8" x14ac:dyDescent="0.2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3.8" x14ac:dyDescent="0.2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3.8" x14ac:dyDescent="0.2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3.8" x14ac:dyDescent="0.2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3.8" x14ac:dyDescent="0.2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3.8" x14ac:dyDescent="0.2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3.8" x14ac:dyDescent="0.2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3.8" x14ac:dyDescent="0.2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3.8" x14ac:dyDescent="0.2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3.8" x14ac:dyDescent="0.2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3.8" x14ac:dyDescent="0.2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3.8" x14ac:dyDescent="0.2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3.8" x14ac:dyDescent="0.2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3.8" x14ac:dyDescent="0.2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3.8" x14ac:dyDescent="0.2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3.8" x14ac:dyDescent="0.2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3.8" x14ac:dyDescent="0.2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3.8" x14ac:dyDescent="0.2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3.8" x14ac:dyDescent="0.2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3.8" x14ac:dyDescent="0.2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3.8" x14ac:dyDescent="0.2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3.8" x14ac:dyDescent="0.2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3.8" x14ac:dyDescent="0.2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3.8" x14ac:dyDescent="0.2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3.8" x14ac:dyDescent="0.2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3.8" x14ac:dyDescent="0.2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3.8" x14ac:dyDescent="0.2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3.8" x14ac:dyDescent="0.2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3.8" x14ac:dyDescent="0.2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3.8" x14ac:dyDescent="0.2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3.8" x14ac:dyDescent="0.2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3.8" x14ac:dyDescent="0.2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3.8" x14ac:dyDescent="0.2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3.8" x14ac:dyDescent="0.2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3.8" x14ac:dyDescent="0.2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3.8" x14ac:dyDescent="0.2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3.8" x14ac:dyDescent="0.2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3.8" x14ac:dyDescent="0.2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3.8" x14ac:dyDescent="0.2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3.8" x14ac:dyDescent="0.2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3.8" x14ac:dyDescent="0.2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3.8" x14ac:dyDescent="0.2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3.8" x14ac:dyDescent="0.2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3.8" x14ac:dyDescent="0.2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3.8" x14ac:dyDescent="0.2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3.8" x14ac:dyDescent="0.2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3.8" x14ac:dyDescent="0.2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3.8" x14ac:dyDescent="0.2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3.8" x14ac:dyDescent="0.2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3.8" x14ac:dyDescent="0.2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3.8" x14ac:dyDescent="0.2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3.8" x14ac:dyDescent="0.2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3.8" x14ac:dyDescent="0.2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3.8" x14ac:dyDescent="0.2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3.8" x14ac:dyDescent="0.2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3.8" x14ac:dyDescent="0.2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3.8" x14ac:dyDescent="0.2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3.8" x14ac:dyDescent="0.2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3.8" x14ac:dyDescent="0.2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3.8" x14ac:dyDescent="0.2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3.8" x14ac:dyDescent="0.2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3.8" x14ac:dyDescent="0.2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3.8" x14ac:dyDescent="0.2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3.8" x14ac:dyDescent="0.2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3.8" x14ac:dyDescent="0.2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3.8" x14ac:dyDescent="0.2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3.8" x14ac:dyDescent="0.2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3.8" x14ac:dyDescent="0.2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3.8" x14ac:dyDescent="0.2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3.8" x14ac:dyDescent="0.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3.8" x14ac:dyDescent="0.2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3.8" x14ac:dyDescent="0.2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3.8" x14ac:dyDescent="0.2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3.8" x14ac:dyDescent="0.2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3.8" x14ac:dyDescent="0.2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3.8" x14ac:dyDescent="0.2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3.8" x14ac:dyDescent="0.2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3.8" x14ac:dyDescent="0.2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3.8" x14ac:dyDescent="0.2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3.8" x14ac:dyDescent="0.2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3.8" x14ac:dyDescent="0.2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3.8" x14ac:dyDescent="0.2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3.8" x14ac:dyDescent="0.2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3.8" x14ac:dyDescent="0.2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3.8" x14ac:dyDescent="0.2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3.8" x14ac:dyDescent="0.2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3.8" x14ac:dyDescent="0.2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3.8" x14ac:dyDescent="0.2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3.8" x14ac:dyDescent="0.2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3.8" x14ac:dyDescent="0.2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3.8" x14ac:dyDescent="0.2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3.8" x14ac:dyDescent="0.2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3.8" x14ac:dyDescent="0.2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3.8" x14ac:dyDescent="0.2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3.8" x14ac:dyDescent="0.2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3.8" x14ac:dyDescent="0.2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3.8" x14ac:dyDescent="0.2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3.8" x14ac:dyDescent="0.2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3.8" x14ac:dyDescent="0.2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3.8" x14ac:dyDescent="0.2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3.8" x14ac:dyDescent="0.2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3.8" x14ac:dyDescent="0.2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3.8" x14ac:dyDescent="0.2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3.8" x14ac:dyDescent="0.2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3.8" x14ac:dyDescent="0.2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3.8" x14ac:dyDescent="0.2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3.8" x14ac:dyDescent="0.2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3.8" x14ac:dyDescent="0.2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3.8" x14ac:dyDescent="0.2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3.8" x14ac:dyDescent="0.2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3.8" x14ac:dyDescent="0.2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3.8" x14ac:dyDescent="0.2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3.8" x14ac:dyDescent="0.2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3.8" x14ac:dyDescent="0.2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3.8" x14ac:dyDescent="0.2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3.8" x14ac:dyDescent="0.2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3.8" x14ac:dyDescent="0.2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3.8" x14ac:dyDescent="0.2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3.8" x14ac:dyDescent="0.2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3.8" x14ac:dyDescent="0.2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3.8" x14ac:dyDescent="0.2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3.8" x14ac:dyDescent="0.2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3.8" x14ac:dyDescent="0.2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3.8" x14ac:dyDescent="0.2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3.8" x14ac:dyDescent="0.2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3.8" x14ac:dyDescent="0.2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3.8" x14ac:dyDescent="0.2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3.8" x14ac:dyDescent="0.2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3.8" x14ac:dyDescent="0.2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3.8" x14ac:dyDescent="0.2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3.8" x14ac:dyDescent="0.2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3.8" x14ac:dyDescent="0.2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3.8" x14ac:dyDescent="0.2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3.8" x14ac:dyDescent="0.2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3.8" x14ac:dyDescent="0.2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3.8" x14ac:dyDescent="0.2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3.8" x14ac:dyDescent="0.2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3.8" x14ac:dyDescent="0.2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3.8" x14ac:dyDescent="0.2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3.8" x14ac:dyDescent="0.2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3.8" x14ac:dyDescent="0.2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3.8" x14ac:dyDescent="0.2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3.8" x14ac:dyDescent="0.2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3.8" x14ac:dyDescent="0.2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3.8" x14ac:dyDescent="0.2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3.8" x14ac:dyDescent="0.2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3.8" x14ac:dyDescent="0.2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3.8" x14ac:dyDescent="0.2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3.8" x14ac:dyDescent="0.2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3.8" x14ac:dyDescent="0.2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3.8" x14ac:dyDescent="0.2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3.8" x14ac:dyDescent="0.2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3.8" x14ac:dyDescent="0.2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3.8" x14ac:dyDescent="0.2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3.8" x14ac:dyDescent="0.2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3.8" x14ac:dyDescent="0.2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3.8" x14ac:dyDescent="0.2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3.8" x14ac:dyDescent="0.2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3.8" x14ac:dyDescent="0.2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3.8" x14ac:dyDescent="0.2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3.8" x14ac:dyDescent="0.2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3.8" x14ac:dyDescent="0.2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3.8" x14ac:dyDescent="0.2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3.8" x14ac:dyDescent="0.2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3.8" x14ac:dyDescent="0.2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3.8" x14ac:dyDescent="0.2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3.8" x14ac:dyDescent="0.2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3.8" x14ac:dyDescent="0.2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3.8" x14ac:dyDescent="0.2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3.8" x14ac:dyDescent="0.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3.8" x14ac:dyDescent="0.2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3.8" x14ac:dyDescent="0.2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3.8" x14ac:dyDescent="0.2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3.8" x14ac:dyDescent="0.2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3.8" x14ac:dyDescent="0.2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3.8" x14ac:dyDescent="0.2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3.8" x14ac:dyDescent="0.2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3.8" x14ac:dyDescent="0.2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3.8" x14ac:dyDescent="0.2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3.8" x14ac:dyDescent="0.2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3.8" x14ac:dyDescent="0.2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3.8" x14ac:dyDescent="0.2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3.8" x14ac:dyDescent="0.2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3.8" x14ac:dyDescent="0.2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3.8" x14ac:dyDescent="0.2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3.8" x14ac:dyDescent="0.2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3.8" x14ac:dyDescent="0.2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3.8" x14ac:dyDescent="0.2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3.8" x14ac:dyDescent="0.2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3.8" x14ac:dyDescent="0.2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3.8" x14ac:dyDescent="0.2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3.8" x14ac:dyDescent="0.2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3.8" x14ac:dyDescent="0.2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3.8" x14ac:dyDescent="0.2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3.8" x14ac:dyDescent="0.2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3.8" x14ac:dyDescent="0.2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3.8" x14ac:dyDescent="0.2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3.8" x14ac:dyDescent="0.2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3.8" x14ac:dyDescent="0.2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3.8" x14ac:dyDescent="0.2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3.8" x14ac:dyDescent="0.2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3.8" x14ac:dyDescent="0.2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3.8" x14ac:dyDescent="0.2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3.8" x14ac:dyDescent="0.2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3.8" x14ac:dyDescent="0.2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3.8" x14ac:dyDescent="0.2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3.8" x14ac:dyDescent="0.2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3.8" x14ac:dyDescent="0.2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3.8" x14ac:dyDescent="0.2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3.8" x14ac:dyDescent="0.2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3.8" x14ac:dyDescent="0.2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3.8" x14ac:dyDescent="0.2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3.8" x14ac:dyDescent="0.2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3.8" x14ac:dyDescent="0.2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3.8" x14ac:dyDescent="0.2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3.8" x14ac:dyDescent="0.2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3.8" x14ac:dyDescent="0.2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3.8" x14ac:dyDescent="0.2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3.8" x14ac:dyDescent="0.2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3.8" x14ac:dyDescent="0.2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3.8" x14ac:dyDescent="0.2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3.8" x14ac:dyDescent="0.2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3.8" x14ac:dyDescent="0.2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3.8" x14ac:dyDescent="0.2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3.8" x14ac:dyDescent="0.2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3.8" x14ac:dyDescent="0.2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3.8" x14ac:dyDescent="0.2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3.8" x14ac:dyDescent="0.2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3.8" x14ac:dyDescent="0.2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3.8" x14ac:dyDescent="0.2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3.8" x14ac:dyDescent="0.2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3.8" x14ac:dyDescent="0.2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3.8" x14ac:dyDescent="0.2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3.8" x14ac:dyDescent="0.2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3.8" x14ac:dyDescent="0.2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3.8" x14ac:dyDescent="0.2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3.8" x14ac:dyDescent="0.2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3.8" x14ac:dyDescent="0.2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3.8" x14ac:dyDescent="0.2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3.8" x14ac:dyDescent="0.2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3.8" x14ac:dyDescent="0.2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3.8" x14ac:dyDescent="0.2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3.8" x14ac:dyDescent="0.2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3.8" x14ac:dyDescent="0.2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3.8" x14ac:dyDescent="0.2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3.8" x14ac:dyDescent="0.2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3.8" x14ac:dyDescent="0.2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3.8" x14ac:dyDescent="0.2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3.8" x14ac:dyDescent="0.2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3.8" x14ac:dyDescent="0.2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3.8" x14ac:dyDescent="0.2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3.8" x14ac:dyDescent="0.2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3.8" x14ac:dyDescent="0.2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3.8" x14ac:dyDescent="0.2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3.8" x14ac:dyDescent="0.2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3.8" x14ac:dyDescent="0.2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3.8" x14ac:dyDescent="0.2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3.8" x14ac:dyDescent="0.2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3.8" x14ac:dyDescent="0.2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3.8" x14ac:dyDescent="0.2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3.8" x14ac:dyDescent="0.2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3.8" x14ac:dyDescent="0.2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3.8" x14ac:dyDescent="0.2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3.8" x14ac:dyDescent="0.2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3.8" x14ac:dyDescent="0.2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3.8" x14ac:dyDescent="0.2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3.8" x14ac:dyDescent="0.2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3.8" x14ac:dyDescent="0.2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3.8" x14ac:dyDescent="0.2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3.8" x14ac:dyDescent="0.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3.8" x14ac:dyDescent="0.2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3.8" x14ac:dyDescent="0.2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3.8" x14ac:dyDescent="0.2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3.8" x14ac:dyDescent="0.2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3.8" x14ac:dyDescent="0.2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3.8" x14ac:dyDescent="0.2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3.8" x14ac:dyDescent="0.2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3.8" x14ac:dyDescent="0.2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3.8" x14ac:dyDescent="0.2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3.8" x14ac:dyDescent="0.2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3.8" x14ac:dyDescent="0.2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3.8" x14ac:dyDescent="0.2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3.8" x14ac:dyDescent="0.2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3.8" x14ac:dyDescent="0.2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3.8" x14ac:dyDescent="0.2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3.8" x14ac:dyDescent="0.2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3.8" x14ac:dyDescent="0.2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3.8" x14ac:dyDescent="0.2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3.8" x14ac:dyDescent="0.2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3.8" x14ac:dyDescent="0.2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3.8" x14ac:dyDescent="0.2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3.8" x14ac:dyDescent="0.2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3.8" x14ac:dyDescent="0.2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3.8" x14ac:dyDescent="0.2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3.8" x14ac:dyDescent="0.2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3.8" x14ac:dyDescent="0.2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3.8" x14ac:dyDescent="0.2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3.8" x14ac:dyDescent="0.2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3.8" x14ac:dyDescent="0.2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3.8" x14ac:dyDescent="0.2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3.8" x14ac:dyDescent="0.2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3.8" x14ac:dyDescent="0.2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3.8" x14ac:dyDescent="0.2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3.8" x14ac:dyDescent="0.2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3.8" x14ac:dyDescent="0.2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3.8" x14ac:dyDescent="0.2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3.8" x14ac:dyDescent="0.2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3.8" x14ac:dyDescent="0.2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3.8" x14ac:dyDescent="0.2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3.8" x14ac:dyDescent="0.2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3.8" x14ac:dyDescent="0.2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3.8" x14ac:dyDescent="0.2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3.8" x14ac:dyDescent="0.2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3.8" x14ac:dyDescent="0.2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3.8" x14ac:dyDescent="0.2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3.8" x14ac:dyDescent="0.2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3.8" x14ac:dyDescent="0.2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3.8" x14ac:dyDescent="0.2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3.8" x14ac:dyDescent="0.2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3.8" x14ac:dyDescent="0.2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3.8" x14ac:dyDescent="0.2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3.8" x14ac:dyDescent="0.2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3.8" x14ac:dyDescent="0.2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3.8" x14ac:dyDescent="0.2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3.8" x14ac:dyDescent="0.2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3.8" x14ac:dyDescent="0.2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3.8" x14ac:dyDescent="0.2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3.8" x14ac:dyDescent="0.2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3.8" x14ac:dyDescent="0.2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3.8" x14ac:dyDescent="0.2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3.8" x14ac:dyDescent="0.2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3.8" x14ac:dyDescent="0.2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3.8" x14ac:dyDescent="0.2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3.8" x14ac:dyDescent="0.2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3.8" x14ac:dyDescent="0.2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3.8" x14ac:dyDescent="0.2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3.8" x14ac:dyDescent="0.2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3.8" x14ac:dyDescent="0.2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3.8" x14ac:dyDescent="0.2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3.8" x14ac:dyDescent="0.2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3.8" x14ac:dyDescent="0.2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3.8" x14ac:dyDescent="0.2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3.8" x14ac:dyDescent="0.2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3.8" x14ac:dyDescent="0.2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3.8" x14ac:dyDescent="0.2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3.8" x14ac:dyDescent="0.2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3.8" x14ac:dyDescent="0.2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3.8" x14ac:dyDescent="0.2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3.8" x14ac:dyDescent="0.2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3.8" x14ac:dyDescent="0.2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3.8" x14ac:dyDescent="0.2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3.8" x14ac:dyDescent="0.2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3.8" x14ac:dyDescent="0.2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3.8" x14ac:dyDescent="0.2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3.8" x14ac:dyDescent="0.2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3.8" x14ac:dyDescent="0.2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3.8" x14ac:dyDescent="0.2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3.8" x14ac:dyDescent="0.2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3.8" x14ac:dyDescent="0.2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3.8" x14ac:dyDescent="0.2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3.8" x14ac:dyDescent="0.2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3.8" x14ac:dyDescent="0.2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3.8" x14ac:dyDescent="0.2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3.8" x14ac:dyDescent="0.2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3.8" x14ac:dyDescent="0.2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3.8" x14ac:dyDescent="0.2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3.8" x14ac:dyDescent="0.2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3.8" x14ac:dyDescent="0.2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3.8" x14ac:dyDescent="0.2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3.8" x14ac:dyDescent="0.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3.8" x14ac:dyDescent="0.2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3.8" x14ac:dyDescent="0.2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3.8" x14ac:dyDescent="0.2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3.8" x14ac:dyDescent="0.2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3.8" x14ac:dyDescent="0.2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3.8" x14ac:dyDescent="0.2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3.8" x14ac:dyDescent="0.2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3.8" x14ac:dyDescent="0.2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3.8" x14ac:dyDescent="0.2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3.8" x14ac:dyDescent="0.2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3.8" x14ac:dyDescent="0.2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3.8" x14ac:dyDescent="0.2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3.8" x14ac:dyDescent="0.2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3.8" x14ac:dyDescent="0.2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3.8" x14ac:dyDescent="0.2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3.8" x14ac:dyDescent="0.2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3.8" x14ac:dyDescent="0.2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3.8" x14ac:dyDescent="0.2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3.8" x14ac:dyDescent="0.2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3.8" x14ac:dyDescent="0.2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3.8" x14ac:dyDescent="0.2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3.8" x14ac:dyDescent="0.2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3.8" x14ac:dyDescent="0.2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3.8" x14ac:dyDescent="0.2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3.8" x14ac:dyDescent="0.2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3.8" x14ac:dyDescent="0.2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3.8" x14ac:dyDescent="0.2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3.8" x14ac:dyDescent="0.2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3.8" x14ac:dyDescent="0.2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3.8" x14ac:dyDescent="0.2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3.8" x14ac:dyDescent="0.2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3.8" x14ac:dyDescent="0.2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3.8" x14ac:dyDescent="0.2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3.8" x14ac:dyDescent="0.2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3.8" x14ac:dyDescent="0.2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3.8" x14ac:dyDescent="0.2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3.8" x14ac:dyDescent="0.2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3.8" x14ac:dyDescent="0.2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3.8" x14ac:dyDescent="0.2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3.8" x14ac:dyDescent="0.2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3.8" x14ac:dyDescent="0.2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3.8" x14ac:dyDescent="0.2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3.8" x14ac:dyDescent="0.2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3.8" x14ac:dyDescent="0.2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3.8" x14ac:dyDescent="0.2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3.8" x14ac:dyDescent="0.2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3.8" x14ac:dyDescent="0.2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3.8" x14ac:dyDescent="0.2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3.8" x14ac:dyDescent="0.2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3.8" x14ac:dyDescent="0.2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3.8" x14ac:dyDescent="0.2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3.8" x14ac:dyDescent="0.2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3.8" x14ac:dyDescent="0.2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3.8" x14ac:dyDescent="0.2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3.8" x14ac:dyDescent="0.2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3.8" x14ac:dyDescent="0.2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3.8" x14ac:dyDescent="0.2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3.8" x14ac:dyDescent="0.2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3.8" x14ac:dyDescent="0.2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3.8" x14ac:dyDescent="0.2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3.8" x14ac:dyDescent="0.2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3.8" x14ac:dyDescent="0.2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3.8" x14ac:dyDescent="0.2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3.8" x14ac:dyDescent="0.2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3.8" x14ac:dyDescent="0.2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3.8" x14ac:dyDescent="0.2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3.8" x14ac:dyDescent="0.2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3.8" x14ac:dyDescent="0.2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3.8" x14ac:dyDescent="0.2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O1000"/>
  <sheetViews>
    <sheetView showGridLines="0" zoomScale="130" zoomScaleNormal="130" workbookViewId="0">
      <selection activeCell="L12" sqref="L12"/>
    </sheetView>
  </sheetViews>
  <sheetFormatPr defaultColWidth="12.59765625" defaultRowHeight="15" customHeight="1" x14ac:dyDescent="0.25"/>
  <cols>
    <col min="1" max="1" width="8.69921875" customWidth="1"/>
    <col min="2" max="2" width="22.09765625" customWidth="1"/>
    <col min="3" max="3" width="11.59765625" customWidth="1"/>
    <col min="4" max="4" width="11" customWidth="1"/>
    <col min="5" max="5" width="12.19921875" customWidth="1"/>
    <col min="6" max="6" width="2.09765625" customWidth="1"/>
    <col min="7" max="7" width="10.69921875" customWidth="1"/>
    <col min="8" max="8" width="11.09765625" customWidth="1"/>
    <col min="9" max="9" width="11.19921875" customWidth="1"/>
    <col min="10" max="10" width="10.69921875" customWidth="1"/>
    <col min="11" max="11" width="11.09765625" customWidth="1"/>
    <col min="12" max="15" width="8.69921875" customWidth="1"/>
    <col min="16" max="26" width="14.3984375" customWidth="1"/>
  </cols>
  <sheetData>
    <row r="1" spans="2:15" ht="14.25" customHeight="1" x14ac:dyDescent="0.3">
      <c r="B1" s="10" t="s">
        <v>106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2:15" ht="14.25" customHeight="1" x14ac:dyDescent="0.25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2:15" ht="27" customHeight="1" x14ac:dyDescent="0.25">
      <c r="B3" s="22" t="s">
        <v>68</v>
      </c>
      <c r="C3" s="23" t="s">
        <v>89</v>
      </c>
      <c r="D3" s="23" t="s">
        <v>90</v>
      </c>
      <c r="E3" s="23" t="s">
        <v>91</v>
      </c>
      <c r="F3" s="24"/>
      <c r="G3" s="25" t="s">
        <v>92</v>
      </c>
      <c r="H3" s="25" t="s">
        <v>93</v>
      </c>
      <c r="I3" s="25" t="s">
        <v>94</v>
      </c>
      <c r="J3" s="25" t="s">
        <v>95</v>
      </c>
      <c r="K3" s="25" t="s">
        <v>96</v>
      </c>
      <c r="L3" s="11"/>
      <c r="M3" s="45" t="s">
        <v>107</v>
      </c>
      <c r="N3" s="11"/>
      <c r="O3" s="11"/>
    </row>
    <row r="4" spans="2:15" ht="14.25" customHeight="1" x14ac:dyDescent="0.25">
      <c r="B4" s="11" t="s">
        <v>37</v>
      </c>
      <c r="C4" s="27">
        <f>'BS source'!D4</f>
        <v>5961.6</v>
      </c>
      <c r="D4" s="27">
        <f>'BS source'!E4</f>
        <v>5840</v>
      </c>
      <c r="E4" s="27">
        <f>'BS source'!F4</f>
        <v>5650</v>
      </c>
      <c r="F4" s="14"/>
      <c r="G4" s="26">
        <f>$E$4</f>
        <v>5650</v>
      </c>
      <c r="H4" s="26">
        <f t="shared" ref="H4:K4" si="0">$E$4</f>
        <v>5650</v>
      </c>
      <c r="I4" s="26">
        <f t="shared" si="0"/>
        <v>5650</v>
      </c>
      <c r="J4" s="26">
        <f t="shared" si="0"/>
        <v>5650</v>
      </c>
      <c r="K4" s="26">
        <f t="shared" si="0"/>
        <v>5650</v>
      </c>
      <c r="L4" s="11"/>
      <c r="M4" s="11" t="s">
        <v>108</v>
      </c>
      <c r="N4" s="11"/>
      <c r="O4" s="11"/>
    </row>
    <row r="5" spans="2:15" ht="14.25" customHeight="1" x14ac:dyDescent="0.25">
      <c r="B5" s="46" t="s">
        <v>39</v>
      </c>
      <c r="C5" s="27">
        <f>SUMIF('BS assumptions'!$B:$B,BS!$B5,'BS assumptions'!C:C)</f>
        <v>45106.400000000001</v>
      </c>
      <c r="D5" s="27">
        <f>SUMIF('BS assumptions'!$B:$B,BS!$B5,'BS assumptions'!D:D)</f>
        <v>49072.4</v>
      </c>
      <c r="E5" s="27">
        <f>SUMIF('BS assumptions'!$B:$B,BS!$B5,'BS assumptions'!E:E)</f>
        <v>56109.2</v>
      </c>
      <c r="F5" s="27"/>
      <c r="G5" s="27">
        <f>SUMIF('BS assumptions'!$B:$B,BS!$B5,'BS assumptions'!G:G)</f>
        <v>59898.018769381182</v>
      </c>
      <c r="H5" s="27">
        <f>SUMIF('BS assumptions'!$B:$B,BS!$B5,'BS assumptions'!H:H)</f>
        <v>65887.820646319306</v>
      </c>
      <c r="I5" s="27">
        <f>SUMIF('BS assumptions'!$B:$B,BS!$B5,'BS assumptions'!I:I)</f>
        <v>72476.602710951251</v>
      </c>
      <c r="J5" s="27">
        <f>SUMIF('BS assumptions'!$B:$B,BS!$B5,'BS assumptions'!J:J)</f>
        <v>79724.262982046392</v>
      </c>
      <c r="K5" s="27">
        <f>SUMIF('BS assumptions'!$B:$B,BS!$B5,'BS assumptions'!K:K)</f>
        <v>87696.689280251027</v>
      </c>
      <c r="L5" s="11"/>
      <c r="M5" s="11"/>
      <c r="N5" s="11"/>
      <c r="O5" s="11"/>
    </row>
    <row r="6" spans="2:15" ht="14.25" customHeight="1" x14ac:dyDescent="0.25">
      <c r="B6" s="11" t="s">
        <v>41</v>
      </c>
      <c r="C6" s="27">
        <f>'BS source'!D6</f>
        <v>8824</v>
      </c>
      <c r="D6" s="27">
        <f>'BS source'!E6</f>
        <v>9831</v>
      </c>
      <c r="E6" s="27">
        <f>'BS source'!F6</f>
        <v>10323</v>
      </c>
      <c r="F6" s="11"/>
      <c r="G6" s="26">
        <f>$E$6</f>
        <v>10323</v>
      </c>
      <c r="H6" s="26">
        <f t="shared" ref="H6:K6" si="1">$E$6</f>
        <v>10323</v>
      </c>
      <c r="I6" s="26">
        <f t="shared" si="1"/>
        <v>10323</v>
      </c>
      <c r="J6" s="26">
        <f t="shared" si="1"/>
        <v>10323</v>
      </c>
      <c r="K6" s="26">
        <f t="shared" si="1"/>
        <v>10323</v>
      </c>
      <c r="L6" s="11"/>
      <c r="M6" s="11" t="s">
        <v>108</v>
      </c>
      <c r="N6" s="11"/>
      <c r="O6" s="11"/>
    </row>
    <row r="7" spans="2:15" ht="14.25" customHeight="1" x14ac:dyDescent="0.25">
      <c r="B7" s="11"/>
      <c r="C7" s="41"/>
      <c r="D7" s="41"/>
      <c r="E7" s="41"/>
      <c r="F7" s="11"/>
      <c r="G7" s="26"/>
      <c r="H7" s="26"/>
      <c r="I7" s="26"/>
      <c r="J7" s="26"/>
      <c r="K7" s="26"/>
      <c r="L7" s="11"/>
      <c r="M7" s="11"/>
      <c r="N7" s="11"/>
      <c r="O7" s="11"/>
    </row>
    <row r="8" spans="2:15" ht="14.25" customHeight="1" x14ac:dyDescent="0.25">
      <c r="B8" s="46" t="s">
        <v>46</v>
      </c>
      <c r="C8" s="27">
        <f>SUMIF('BS assumptions'!$B:$B,BS!$B8,'BS assumptions'!C:C)</f>
        <v>31167.200000000001</v>
      </c>
      <c r="D8" s="27">
        <f>SUMIF('BS assumptions'!$B:$B,BS!$B8,'BS assumptions'!D:D)</f>
        <v>36396.800000000003</v>
      </c>
      <c r="E8" s="27">
        <f>SUMIF('BS assumptions'!$B:$B,BS!$B8,'BS assumptions'!E:E)</f>
        <v>46212</v>
      </c>
      <c r="F8" s="27"/>
      <c r="G8" s="27">
        <f>SUMIF('BS assumptions'!$B:$B,BS!$B8,'BS assumptions'!G:G)</f>
        <v>51102.670511975753</v>
      </c>
      <c r="H8" s="27">
        <f>SUMIF('BS assumptions'!$B:$B,BS!$B8,'BS assumptions'!H:H)</f>
        <v>56212.937563173342</v>
      </c>
      <c r="I8" s="27">
        <f>SUMIF('BS assumptions'!$B:$B,BS!$B8,'BS assumptions'!I:I)</f>
        <v>61834.231319490675</v>
      </c>
      <c r="J8" s="27">
        <f>SUMIF('BS assumptions'!$B:$B,BS!$B8,'BS assumptions'!J:J)</f>
        <v>68017.654451439768</v>
      </c>
      <c r="K8" s="27">
        <f>SUMIF('BS assumptions'!$B:$B,BS!$B8,'BS assumptions'!K:K)</f>
        <v>74819.419896583742</v>
      </c>
      <c r="L8" s="11"/>
      <c r="M8" s="11"/>
      <c r="N8" s="11"/>
      <c r="O8" s="11"/>
    </row>
    <row r="9" spans="2:15" ht="14.25" customHeight="1" x14ac:dyDescent="0.25">
      <c r="B9" s="46" t="s">
        <v>97</v>
      </c>
      <c r="C9" s="27">
        <f>SUMIF('BS assumptions'!$B:$B,BS!$B9,'BS assumptions'!C:C)</f>
        <v>32883.599999999999</v>
      </c>
      <c r="D9" s="27">
        <f>SUMIF('BS assumptions'!$B:$B,BS!$B9,'BS assumptions'!D:D)</f>
        <v>38556</v>
      </c>
      <c r="E9" s="27">
        <f>SUMIF('BS assumptions'!$B:$B,BS!$B9,'BS assumptions'!E:E)</f>
        <v>43581.599999999999</v>
      </c>
      <c r="F9" s="27"/>
      <c r="G9" s="27">
        <f>SUMIF('BS assumptions'!$B:$B,BS!$B9,'BS assumptions'!G:G)</f>
        <v>47352.304716071507</v>
      </c>
      <c r="H9" s="27">
        <f>SUMIF('BS assumptions'!$B:$B,BS!$B9,'BS assumptions'!H:H)</f>
        <v>52087.535187678659</v>
      </c>
      <c r="I9" s="27">
        <f>SUMIF('BS assumptions'!$B:$B,BS!$B9,'BS assumptions'!I:I)</f>
        <v>57296.288706446532</v>
      </c>
      <c r="J9" s="27">
        <f>SUMIF('BS assumptions'!$B:$B,BS!$B9,'BS assumptions'!J:J)</f>
        <v>63025.917577091197</v>
      </c>
      <c r="K9" s="27">
        <f>SUMIF('BS assumptions'!$B:$B,BS!$B9,'BS assumptions'!K:K)</f>
        <v>69328.509334800314</v>
      </c>
      <c r="L9" s="11"/>
      <c r="M9" s="11"/>
      <c r="N9" s="11"/>
      <c r="O9" s="11"/>
    </row>
    <row r="10" spans="2:15" ht="14.25" customHeight="1" x14ac:dyDescent="0.25">
      <c r="B10" s="46" t="s">
        <v>50</v>
      </c>
      <c r="C10" s="27">
        <f>SUMIF('BS assumptions'!$B:$B,BS!$B10,'BS assumptions'!C:C)</f>
        <v>8841.6</v>
      </c>
      <c r="D10" s="27">
        <f>SUMIF('BS assumptions'!$B:$B,BS!$B10,'BS assumptions'!D:D)</f>
        <v>11359.199999999999</v>
      </c>
      <c r="E10" s="27">
        <f>SUMIF('BS assumptions'!$B:$B,BS!$B10,'BS assumptions'!E:E)</f>
        <v>17602.8</v>
      </c>
      <c r="F10" s="27"/>
      <c r="G10" s="27">
        <f>SUMIF('BS assumptions'!$B:$B,BS!$B10,'BS assumptions'!G:G)</f>
        <v>14867.518484339287</v>
      </c>
      <c r="H10" s="27">
        <f>SUMIF('BS assumptions'!$B:$B,BS!$B10,'BS assumptions'!H:H)</f>
        <v>16354.270332773216</v>
      </c>
      <c r="I10" s="27">
        <f>SUMIF('BS assumptions'!$B:$B,BS!$B10,'BS assumptions'!I:I)</f>
        <v>17989.697366050539</v>
      </c>
      <c r="J10" s="27">
        <f>SUMIF('BS assumptions'!$B:$B,BS!$B10,'BS assumptions'!J:J)</f>
        <v>19788.6671026556</v>
      </c>
      <c r="K10" s="27">
        <f>SUMIF('BS assumptions'!$B:$B,BS!$B10,'BS assumptions'!K:K)</f>
        <v>21767.53381292116</v>
      </c>
      <c r="L10" s="11"/>
      <c r="M10" s="11"/>
      <c r="N10" s="11"/>
      <c r="O10" s="11"/>
    </row>
    <row r="11" spans="2:15" ht="14.25" customHeight="1" x14ac:dyDescent="0.25">
      <c r="B11" s="11"/>
      <c r="C11" s="41"/>
      <c r="D11" s="41"/>
      <c r="E11" s="41"/>
      <c r="F11" s="11"/>
      <c r="G11" s="26"/>
      <c r="H11" s="26"/>
      <c r="I11" s="26"/>
      <c r="J11" s="26"/>
      <c r="K11" s="26"/>
      <c r="L11" s="11"/>
      <c r="M11" s="11"/>
      <c r="N11" s="11"/>
      <c r="O11" s="11"/>
    </row>
    <row r="12" spans="2:15" ht="14.25" customHeight="1" x14ac:dyDescent="0.25">
      <c r="B12" s="11" t="s">
        <v>53</v>
      </c>
      <c r="C12" s="27">
        <f>'BS source'!D14</f>
        <v>11791.199999999999</v>
      </c>
      <c r="D12" s="27">
        <f>'BS source'!E14</f>
        <v>19408.8</v>
      </c>
      <c r="E12" s="27">
        <f>'BS source'!F14</f>
        <v>8173.6</v>
      </c>
      <c r="F12" s="11"/>
      <c r="G12" s="26">
        <f ca="1">E12+'Cash Flow'!G27</f>
        <v>24333.994465581371</v>
      </c>
      <c r="H12" s="26">
        <f ca="1">G12+'Cash Flow'!H27</f>
        <v>36561.071434679179</v>
      </c>
      <c r="I12" s="26">
        <f ca="1">H12+'Cash Flow'!I27</f>
        <v>50017.327540686791</v>
      </c>
      <c r="J12" s="26">
        <f ca="1">I12+'Cash Flow'!J27</f>
        <v>64825.680697295116</v>
      </c>
      <c r="K12" s="26">
        <f ca="1">J12+'Cash Flow'!K27</f>
        <v>81121.340609564359</v>
      </c>
      <c r="L12" s="11"/>
      <c r="M12" s="11"/>
      <c r="N12" s="11"/>
      <c r="O12" s="11"/>
    </row>
    <row r="13" spans="2:15" ht="14.25" customHeight="1" x14ac:dyDescent="0.25">
      <c r="B13" s="11"/>
      <c r="C13" s="38"/>
      <c r="D13" s="38"/>
      <c r="E13" s="38"/>
      <c r="F13" s="11"/>
      <c r="G13" s="26"/>
      <c r="H13" s="26"/>
      <c r="I13" s="26"/>
      <c r="J13" s="26"/>
      <c r="K13" s="26"/>
      <c r="L13" s="11"/>
      <c r="M13" s="11"/>
      <c r="N13" s="11"/>
      <c r="O13" s="11"/>
    </row>
    <row r="14" spans="2:15" ht="14.25" customHeight="1" x14ac:dyDescent="0.25">
      <c r="B14" s="47" t="s">
        <v>58</v>
      </c>
      <c r="C14" s="48">
        <f t="shared" ref="C14:E14" si="2">SUM(C4:C12)</f>
        <v>144575.6</v>
      </c>
      <c r="D14" s="48">
        <f t="shared" si="2"/>
        <v>170464.2</v>
      </c>
      <c r="E14" s="48">
        <f t="shared" si="2"/>
        <v>187652.19999999998</v>
      </c>
      <c r="F14" s="14"/>
      <c r="G14" s="49">
        <f t="shared" ref="G14:K14" ca="1" si="3">SUM(G4:G12)</f>
        <v>213527.50694734912</v>
      </c>
      <c r="H14" s="49">
        <f t="shared" ca="1" si="3"/>
        <v>243076.6351646237</v>
      </c>
      <c r="I14" s="49">
        <f t="shared" ca="1" si="3"/>
        <v>275587.14764362579</v>
      </c>
      <c r="J14" s="49">
        <f t="shared" ca="1" si="3"/>
        <v>311355.18281052809</v>
      </c>
      <c r="K14" s="49">
        <f t="shared" ca="1" si="3"/>
        <v>350706.49293412059</v>
      </c>
      <c r="L14" s="11"/>
      <c r="M14" s="11"/>
      <c r="N14" s="11"/>
      <c r="O14" s="11"/>
    </row>
    <row r="15" spans="2:15" ht="14.25" customHeight="1" x14ac:dyDescent="0.25">
      <c r="B15" s="11"/>
      <c r="C15" s="41"/>
      <c r="D15" s="41"/>
      <c r="E15" s="41"/>
      <c r="F15" s="14"/>
      <c r="G15" s="26"/>
      <c r="H15" s="26"/>
      <c r="I15" s="26"/>
      <c r="J15" s="26"/>
      <c r="K15" s="26"/>
      <c r="L15" s="11"/>
      <c r="M15" s="11"/>
      <c r="N15" s="11"/>
      <c r="O15" s="11"/>
    </row>
    <row r="16" spans="2:15" ht="14.25" customHeight="1" x14ac:dyDescent="0.25">
      <c r="B16" s="46" t="s">
        <v>47</v>
      </c>
      <c r="C16" s="27">
        <f>SUMIF('BS assumptions'!$B:$B,BS!$B16,'BS assumptions'!C:C)</f>
        <v>15891.2</v>
      </c>
      <c r="D16" s="27">
        <f>SUMIF('BS assumptions'!$B:$B,BS!$B16,'BS assumptions'!D:D)</f>
        <v>26351.599999999999</v>
      </c>
      <c r="E16" s="27">
        <f>SUMIF('BS assumptions'!$B:$B,BS!$B16,'BS assumptions'!E:E)</f>
        <v>36189.599999999999</v>
      </c>
      <c r="F16" s="27"/>
      <c r="G16" s="27">
        <f>SUMIF('BS assumptions'!$B:$B,BS!$B16,'BS assumptions'!G:G)</f>
        <v>40019.588088812387</v>
      </c>
      <c r="H16" s="27">
        <f>SUMIF('BS assumptions'!$B:$B,BS!$B16,'BS assumptions'!H:H)</f>
        <v>44021.546897693624</v>
      </c>
      <c r="I16" s="27">
        <f>SUMIF('BS assumptions'!$B:$B,BS!$B16,'BS assumptions'!I:I)</f>
        <v>48423.701587462994</v>
      </c>
      <c r="J16" s="27">
        <f>SUMIF('BS assumptions'!$B:$B,BS!$B16,'BS assumptions'!J:J)</f>
        <v>53266.071746209302</v>
      </c>
      <c r="K16" s="27">
        <f>SUMIF('BS assumptions'!$B:$B,BS!$B16,'BS assumptions'!K:K)</f>
        <v>58592.678920830236</v>
      </c>
      <c r="L16" s="11"/>
      <c r="M16" s="11"/>
      <c r="N16" s="11"/>
      <c r="O16" s="11"/>
    </row>
    <row r="17" spans="2:15" ht="14.25" customHeight="1" x14ac:dyDescent="0.25">
      <c r="B17" s="46" t="s">
        <v>49</v>
      </c>
      <c r="C17" s="27">
        <f>SUMIF('BS assumptions'!$B:$B,BS!$B17,'BS assumptions'!C:C)</f>
        <v>5969.0386666666891</v>
      </c>
      <c r="D17" s="27">
        <f>SUMIF('BS assumptions'!$B:$B,BS!$B17,'BS assumptions'!D:D)</f>
        <v>5800.3560000000052</v>
      </c>
      <c r="E17" s="27">
        <f>SUMIF('BS assumptions'!$B:$B,BS!$B17,'BS assumptions'!E:E)</f>
        <v>8473.4464253970418</v>
      </c>
      <c r="F17" s="27"/>
      <c r="G17" s="27">
        <f>SUMIF('BS assumptions'!$B:$B,BS!$B17,'BS assumptions'!G:G)</f>
        <v>8029.9438439337491</v>
      </c>
      <c r="H17" s="27">
        <f>SUMIF('BS assumptions'!$B:$B,BS!$B17,'BS assumptions'!H:H)</f>
        <v>8832.9382283271243</v>
      </c>
      <c r="I17" s="27">
        <f>SUMIF('BS assumptions'!$B:$B,BS!$B17,'BS assumptions'!I:I)</f>
        <v>9716.2320511598391</v>
      </c>
      <c r="J17" s="27">
        <f>SUMIF('BS assumptions'!$B:$B,BS!$B17,'BS assumptions'!J:J)</f>
        <v>10687.855256275825</v>
      </c>
      <c r="K17" s="27">
        <f>SUMIF('BS assumptions'!$B:$B,BS!$B17,'BS assumptions'!K:K)</f>
        <v>11756.640781903407</v>
      </c>
      <c r="L17" s="11"/>
      <c r="M17" s="11"/>
      <c r="N17" s="11"/>
      <c r="O17" s="11"/>
    </row>
    <row r="18" spans="2:15" ht="14.25" customHeight="1" x14ac:dyDescent="0.25">
      <c r="B18" s="11"/>
      <c r="C18" s="41"/>
      <c r="D18" s="41"/>
      <c r="E18" s="41"/>
      <c r="F18" s="14"/>
      <c r="G18" s="26"/>
      <c r="H18" s="26"/>
      <c r="I18" s="26"/>
      <c r="J18" s="26"/>
      <c r="K18" s="26"/>
      <c r="L18" s="11"/>
      <c r="M18" s="11"/>
      <c r="N18" s="11"/>
      <c r="O18" s="11"/>
    </row>
    <row r="19" spans="2:15" ht="14.25" customHeight="1" x14ac:dyDescent="0.25">
      <c r="B19" s="11" t="s">
        <v>109</v>
      </c>
      <c r="C19" s="27">
        <f>'BS source'!J15+'BS source'!J16</f>
        <v>41293.000000000007</v>
      </c>
      <c r="D19" s="27">
        <f>'BS source'!K15+'BS source'!K16</f>
        <v>50645.4</v>
      </c>
      <c r="E19" s="27">
        <f>'BS source'!L15+'BS source'!L16</f>
        <v>51120.799999999996</v>
      </c>
      <c r="F19" s="14"/>
      <c r="G19" s="26">
        <f>$E$19</f>
        <v>51120.799999999996</v>
      </c>
      <c r="H19" s="26">
        <f t="shared" ref="H19:K19" si="4">$E$19</f>
        <v>51120.799999999996</v>
      </c>
      <c r="I19" s="26">
        <f t="shared" si="4"/>
        <v>51120.799999999996</v>
      </c>
      <c r="J19" s="26">
        <f t="shared" si="4"/>
        <v>51120.799999999996</v>
      </c>
      <c r="K19" s="26">
        <f t="shared" si="4"/>
        <v>51120.799999999996</v>
      </c>
      <c r="L19" s="11"/>
      <c r="M19" s="11" t="s">
        <v>108</v>
      </c>
      <c r="N19" s="11"/>
      <c r="O19" s="11"/>
    </row>
    <row r="20" spans="2:15" ht="14.25" customHeight="1" x14ac:dyDescent="0.25">
      <c r="B20" s="11"/>
      <c r="C20" s="41"/>
      <c r="D20" s="41"/>
      <c r="E20" s="41"/>
      <c r="F20" s="14"/>
      <c r="G20" s="26"/>
      <c r="H20" s="26"/>
      <c r="I20" s="26"/>
      <c r="J20" s="26"/>
      <c r="K20" s="26"/>
      <c r="L20" s="11"/>
      <c r="M20" s="11"/>
      <c r="N20" s="11"/>
      <c r="O20" s="11"/>
    </row>
    <row r="21" spans="2:15" ht="14.25" customHeight="1" x14ac:dyDescent="0.25">
      <c r="B21" s="11" t="s">
        <v>110</v>
      </c>
      <c r="C21" s="27">
        <f>'BS source'!J8</f>
        <v>81422.361333333276</v>
      </c>
      <c r="D21" s="27">
        <f>'BS source'!K8</f>
        <v>87666.844000000026</v>
      </c>
      <c r="E21" s="27">
        <f>'BS source'!L8</f>
        <v>91868.353574602996</v>
      </c>
      <c r="F21" s="14"/>
      <c r="G21" s="26">
        <f ca="1">E21+'P&amp;L '!G18</f>
        <v>114357.17501460301</v>
      </c>
      <c r="H21" s="26">
        <f ca="1">G21+'P&amp;L '!H18</f>
        <v>139101.35003860301</v>
      </c>
      <c r="I21" s="26">
        <f ca="1">H21+'P&amp;L '!I18</f>
        <v>166326.414005003</v>
      </c>
      <c r="J21" s="26">
        <f ca="1">I21+'P&amp;L '!J18</f>
        <v>196280.45580804299</v>
      </c>
      <c r="K21" s="26">
        <f ca="1">J21+'P&amp;L '!K18</f>
        <v>229236.373231387</v>
      </c>
      <c r="L21" s="11"/>
      <c r="M21" s="11"/>
      <c r="N21" s="11"/>
      <c r="O21" s="11"/>
    </row>
    <row r="22" spans="2:15" ht="14.25" customHeight="1" x14ac:dyDescent="0.25">
      <c r="B22" s="11"/>
      <c r="C22" s="41"/>
      <c r="D22" s="41"/>
      <c r="E22" s="41"/>
      <c r="F22" s="14"/>
      <c r="G22" s="26"/>
      <c r="H22" s="26"/>
      <c r="I22" s="26"/>
      <c r="J22" s="26"/>
      <c r="K22" s="26"/>
      <c r="L22" s="11"/>
      <c r="M22" s="11"/>
      <c r="N22" s="11"/>
      <c r="O22" s="11"/>
    </row>
    <row r="23" spans="2:15" ht="14.25" customHeight="1" x14ac:dyDescent="0.25">
      <c r="B23" s="47" t="s">
        <v>111</v>
      </c>
      <c r="C23" s="48">
        <f t="shared" ref="C23:K23" si="5">SUM(C16:C21)</f>
        <v>144575.59999999998</v>
      </c>
      <c r="D23" s="48">
        <f t="shared" si="5"/>
        <v>170464.2</v>
      </c>
      <c r="E23" s="48">
        <f t="shared" si="5"/>
        <v>187652.2</v>
      </c>
      <c r="F23" s="49"/>
      <c r="G23" s="49">
        <f t="shared" ca="1" si="5"/>
        <v>213527.50694734915</v>
      </c>
      <c r="H23" s="49">
        <f t="shared" ca="1" si="5"/>
        <v>243076.63516462376</v>
      </c>
      <c r="I23" s="49">
        <f t="shared" ca="1" si="5"/>
        <v>275587.14764362585</v>
      </c>
      <c r="J23" s="49">
        <f t="shared" ca="1" si="5"/>
        <v>311355.18281052809</v>
      </c>
      <c r="K23" s="49">
        <f t="shared" ca="1" si="5"/>
        <v>350706.49293412064</v>
      </c>
      <c r="L23" s="11"/>
      <c r="M23" s="11"/>
      <c r="N23" s="11"/>
      <c r="O23" s="11"/>
    </row>
    <row r="24" spans="2:15" ht="14.25" customHeight="1" x14ac:dyDescent="0.25">
      <c r="B24" s="11"/>
      <c r="C24" s="11"/>
      <c r="D24" s="11"/>
      <c r="E24" s="11"/>
      <c r="F24" s="11"/>
      <c r="G24" s="14"/>
      <c r="H24" s="14"/>
      <c r="I24" s="14"/>
      <c r="J24" s="14"/>
      <c r="K24" s="14"/>
      <c r="L24" s="11"/>
      <c r="M24" s="11"/>
      <c r="N24" s="11"/>
      <c r="O24" s="11"/>
    </row>
    <row r="25" spans="2:15" ht="14.25" customHeight="1" x14ac:dyDescent="0.25">
      <c r="B25" s="11" t="s">
        <v>112</v>
      </c>
      <c r="C25" s="11">
        <f t="shared" ref="C25:E25" si="6">C14-C23</f>
        <v>0</v>
      </c>
      <c r="D25" s="11">
        <f t="shared" si="6"/>
        <v>0</v>
      </c>
      <c r="E25" s="11">
        <f t="shared" si="6"/>
        <v>0</v>
      </c>
      <c r="F25" s="11"/>
      <c r="G25" s="11">
        <f t="shared" ref="G25:K25" ca="1" si="7">G14-G23</f>
        <v>0</v>
      </c>
      <c r="H25" s="11">
        <f t="shared" ca="1" si="7"/>
        <v>0</v>
      </c>
      <c r="I25" s="11">
        <f t="shared" ca="1" si="7"/>
        <v>0</v>
      </c>
      <c r="J25" s="11">
        <f t="shared" ca="1" si="7"/>
        <v>0</v>
      </c>
      <c r="K25" s="11">
        <f t="shared" ca="1" si="7"/>
        <v>0</v>
      </c>
      <c r="L25" s="11"/>
      <c r="M25" s="11"/>
      <c r="N25" s="11"/>
      <c r="O25" s="11"/>
    </row>
    <row r="26" spans="2:15" ht="14.25" customHeight="1" x14ac:dyDescent="0.25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2:15" ht="14.25" customHeight="1" x14ac:dyDescent="0.25"/>
    <row r="28" spans="2:15" ht="14.25" customHeight="1" x14ac:dyDescent="0.25"/>
    <row r="29" spans="2:15" ht="14.25" customHeight="1" x14ac:dyDescent="0.25"/>
    <row r="30" spans="2:15" ht="14.25" customHeight="1" x14ac:dyDescent="0.25"/>
    <row r="31" spans="2:15" ht="14.25" customHeight="1" x14ac:dyDescent="0.25"/>
    <row r="32" spans="2:1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998"/>
  <sheetViews>
    <sheetView zoomScale="175" zoomScaleNormal="175" workbookViewId="0">
      <selection activeCell="G32" sqref="G32"/>
    </sheetView>
  </sheetViews>
  <sheetFormatPr defaultColWidth="12.59765625" defaultRowHeight="15" customHeight="1" x14ac:dyDescent="0.25"/>
  <cols>
    <col min="1" max="1" width="8.69921875" customWidth="1"/>
    <col min="2" max="2" width="31" customWidth="1"/>
    <col min="3" max="5" width="8.69921875" customWidth="1"/>
    <col min="6" max="6" width="1.8984375" hidden="1" customWidth="1"/>
    <col min="7" max="7" width="9.69921875" customWidth="1"/>
    <col min="8" max="11" width="8.69921875" customWidth="1"/>
    <col min="12" max="26" width="14.3984375" customWidth="1"/>
  </cols>
  <sheetData>
    <row r="1" spans="2:11" ht="14.25" customHeight="1" x14ac:dyDescent="0.3">
      <c r="B1" s="50" t="s">
        <v>10</v>
      </c>
      <c r="C1" s="50"/>
      <c r="D1" s="51"/>
      <c r="E1" s="51"/>
      <c r="F1" s="51"/>
      <c r="G1" s="51"/>
      <c r="H1" s="51"/>
      <c r="I1" s="51"/>
      <c r="J1" s="51"/>
      <c r="K1" s="51"/>
    </row>
    <row r="2" spans="2:11" ht="14.25" customHeight="1" x14ac:dyDescent="0.25"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2:11" ht="24.6" customHeight="1" x14ac:dyDescent="0.25">
      <c r="B3" s="22" t="s">
        <v>68</v>
      </c>
      <c r="C3" s="22"/>
      <c r="D3" s="23" t="s">
        <v>70</v>
      </c>
      <c r="E3" s="23" t="s">
        <v>71</v>
      </c>
      <c r="F3" s="24"/>
      <c r="G3" s="25" t="s">
        <v>72</v>
      </c>
      <c r="H3" s="25" t="s">
        <v>73</v>
      </c>
      <c r="I3" s="25" t="s">
        <v>74</v>
      </c>
      <c r="J3" s="25" t="s">
        <v>75</v>
      </c>
      <c r="K3" s="25" t="s">
        <v>76</v>
      </c>
    </row>
    <row r="4" spans="2:11" ht="14.25" customHeight="1" x14ac:dyDescent="0.25">
      <c r="B4" s="51" t="s">
        <v>27</v>
      </c>
      <c r="C4" s="51"/>
      <c r="D4" s="52">
        <f ca="1">'P&amp;L '!D12</f>
        <v>16564.136000000017</v>
      </c>
      <c r="E4" s="52">
        <f ca="1">'P&amp;L '!E12</f>
        <v>23130.213574602993</v>
      </c>
      <c r="F4" s="52">
        <f>'P&amp;L '!F12</f>
        <v>0</v>
      </c>
      <c r="G4" s="52">
        <f ca="1">'P&amp;L '!G12</f>
        <v>30089.312000000009</v>
      </c>
      <c r="H4" s="52">
        <f ca="1">'P&amp;L '!H12</f>
        <v>32839.743199999983</v>
      </c>
      <c r="I4" s="52">
        <f ca="1">'P&amp;L '!I12</f>
        <v>35865.217519999998</v>
      </c>
      <c r="J4" s="52">
        <f ca="1">'P&amp;L '!J12</f>
        <v>39193.239271999992</v>
      </c>
      <c r="K4" s="52">
        <f ca="1">'P&amp;L '!K12</f>
        <v>42854.063199200005</v>
      </c>
    </row>
    <row r="5" spans="2:11" ht="14.25" customHeight="1" x14ac:dyDescent="0.25">
      <c r="B5" s="51" t="s">
        <v>113</v>
      </c>
      <c r="C5" s="51"/>
      <c r="D5" s="52">
        <f ca="1">D4*D6</f>
        <v>-3740.0277204742101</v>
      </c>
      <c r="E5" s="52">
        <f t="shared" ref="E5:K5" ca="1" si="0">E4*E6</f>
        <v>-4379.9683364332095</v>
      </c>
      <c r="F5" s="52">
        <f t="shared" si="0"/>
        <v>0</v>
      </c>
      <c r="G5" s="52">
        <f t="shared" ca="1" si="0"/>
        <v>-5416.0761600000014</v>
      </c>
      <c r="H5" s="52">
        <f t="shared" ca="1" si="0"/>
        <v>-5911.1537759999965</v>
      </c>
      <c r="I5" s="52">
        <f t="shared" ca="1" si="0"/>
        <v>-6455.7391535999996</v>
      </c>
      <c r="J5" s="52">
        <f t="shared" ca="1" si="0"/>
        <v>-7054.7830689599987</v>
      </c>
      <c r="K5" s="52">
        <f t="shared" ca="1" si="0"/>
        <v>-7713.7313758560003</v>
      </c>
    </row>
    <row r="6" spans="2:11" ht="14.25" customHeight="1" x14ac:dyDescent="0.25">
      <c r="B6" s="51" t="s">
        <v>114</v>
      </c>
      <c r="C6" s="51"/>
      <c r="D6" s="40">
        <f ca="1">'P&amp;L '!D16</f>
        <v>-0.22579069143565389</v>
      </c>
      <c r="E6" s="40">
        <f ca="1">'P&amp;L '!E16</f>
        <v>-0.18936134430001206</v>
      </c>
      <c r="F6" s="40">
        <f>'P&amp;L '!F16</f>
        <v>0</v>
      </c>
      <c r="G6" s="40">
        <f>'P&amp;L '!G16</f>
        <v>-0.18</v>
      </c>
      <c r="H6" s="40">
        <f>'P&amp;L '!H16</f>
        <v>-0.18</v>
      </c>
      <c r="I6" s="40">
        <f>'P&amp;L '!I16</f>
        <v>-0.18</v>
      </c>
      <c r="J6" s="40">
        <f>'P&amp;L '!J16</f>
        <v>-0.18</v>
      </c>
      <c r="K6" s="40">
        <f>'P&amp;L '!K16</f>
        <v>-0.18</v>
      </c>
    </row>
    <row r="7" spans="2:11" ht="14.25" customHeight="1" x14ac:dyDescent="0.25">
      <c r="B7" s="39" t="s">
        <v>115</v>
      </c>
      <c r="C7" s="39"/>
      <c r="D7" s="54">
        <f ca="1">SUM(D4:D5)</f>
        <v>12824.108279525806</v>
      </c>
      <c r="E7" s="54">
        <f t="shared" ref="E7" ca="1" si="1">SUM(E4:E5)</f>
        <v>18750.245238169784</v>
      </c>
      <c r="F7" s="55"/>
      <c r="G7" s="56">
        <f t="shared" ref="G7:K7" ca="1" si="2">SUM(G4:G5)</f>
        <v>24673.235840000008</v>
      </c>
      <c r="H7" s="56">
        <f t="shared" ca="1" si="2"/>
        <v>26928.589423999987</v>
      </c>
      <c r="I7" s="56">
        <f t="shared" ca="1" si="2"/>
        <v>29409.478366399999</v>
      </c>
      <c r="J7" s="56">
        <f t="shared" ca="1" si="2"/>
        <v>32138.456203039994</v>
      </c>
      <c r="K7" s="56">
        <f t="shared" ca="1" si="2"/>
        <v>35140.331823344008</v>
      </c>
    </row>
    <row r="8" spans="2:11" ht="14.25" customHeight="1" x14ac:dyDescent="0.25">
      <c r="B8" s="51" t="s">
        <v>116</v>
      </c>
      <c r="C8" s="51"/>
      <c r="D8" s="52">
        <f ca="1">-'P&amp;L '!D11</f>
        <v>4649.8</v>
      </c>
      <c r="E8" s="52">
        <f ca="1">-'P&amp;L '!E11</f>
        <v>6430.6600000000008</v>
      </c>
      <c r="F8" s="52">
        <f>-'P&amp;L '!F11</f>
        <v>0</v>
      </c>
      <c r="G8" s="52">
        <f ca="1">-'P&amp;L '!G11</f>
        <v>4584.0520000000006</v>
      </c>
      <c r="H8" s="52">
        <f ca="1">-'P&amp;L '!H11</f>
        <v>5042.4572000000007</v>
      </c>
      <c r="I8" s="52">
        <f ca="1">-'P&amp;L '!I11</f>
        <v>5546.7029200000015</v>
      </c>
      <c r="J8" s="52">
        <f ca="1">-'P&amp;L '!J11</f>
        <v>6101.3732120000022</v>
      </c>
      <c r="K8" s="52">
        <f ca="1">-'P&amp;L '!K11</f>
        <v>6711.510533200003</v>
      </c>
    </row>
    <row r="9" spans="2:11" ht="14.25" customHeight="1" x14ac:dyDescent="0.25">
      <c r="B9" s="39" t="s">
        <v>117</v>
      </c>
      <c r="C9" s="39"/>
      <c r="D9" s="54">
        <f ca="1">SUM(D7:D8)</f>
        <v>17473.908279525807</v>
      </c>
      <c r="E9" s="54">
        <f ca="1">SUM(E7:E8)</f>
        <v>25180.905238169784</v>
      </c>
      <c r="F9" s="59"/>
      <c r="G9" s="56">
        <f ca="1">SUM(G7:G8)</f>
        <v>29257.287840000008</v>
      </c>
      <c r="H9" s="56">
        <f ca="1">SUM(H7:H8)</f>
        <v>31971.046623999988</v>
      </c>
      <c r="I9" s="56">
        <f ca="1">SUM(I7:I8)</f>
        <v>34956.181286400002</v>
      </c>
      <c r="J9" s="56">
        <f ca="1">SUM(J7:J8)</f>
        <v>38239.829415039996</v>
      </c>
      <c r="K9" s="56">
        <f ca="1">SUM(K7:K8)</f>
        <v>41851.84235654401</v>
      </c>
    </row>
    <row r="10" spans="2:11" ht="14.25" customHeight="1" x14ac:dyDescent="0.25">
      <c r="B10" s="51" t="s">
        <v>46</v>
      </c>
      <c r="C10" s="51"/>
      <c r="D10" s="52">
        <f>-BS!D8+BS!C8</f>
        <v>-5229.6000000000022</v>
      </c>
      <c r="E10" s="52">
        <f>-BS!E8+BS!D8</f>
        <v>-9815.1999999999971</v>
      </c>
      <c r="F10" s="52">
        <f>-BS!F8+BS!E8</f>
        <v>46212</v>
      </c>
      <c r="G10" s="52">
        <f>-BS!G8+BS!E8</f>
        <v>-4890.6705119757535</v>
      </c>
      <c r="H10" s="52">
        <f>-BS!H8+BS!G8</f>
        <v>-5110.2670511975884</v>
      </c>
      <c r="I10" s="52">
        <f>-BS!I8+BS!H8</f>
        <v>-5621.2937563173327</v>
      </c>
      <c r="J10" s="52">
        <f>-BS!J8+BS!I8</f>
        <v>-6183.4231319490937</v>
      </c>
      <c r="K10" s="52">
        <f>-BS!K8+BS!J8</f>
        <v>-6801.7654451439739</v>
      </c>
    </row>
    <row r="11" spans="2:11" ht="14.25" customHeight="1" x14ac:dyDescent="0.25">
      <c r="B11" s="51" t="s">
        <v>48</v>
      </c>
      <c r="C11" s="51"/>
      <c r="D11" s="52">
        <f>-BS!D9+BS!C9</f>
        <v>-5672.4000000000015</v>
      </c>
      <c r="E11" s="52">
        <f>-BS!E9+BS!D9</f>
        <v>-5025.5999999999985</v>
      </c>
      <c r="F11" s="52">
        <f>-BS!F9+BS!E9</f>
        <v>43581.599999999999</v>
      </c>
      <c r="G11" s="52">
        <f>-BS!G9+BS!E9</f>
        <v>-3770.7047160715083</v>
      </c>
      <c r="H11" s="52">
        <f>-BS!H9+BS!G9</f>
        <v>-4735.2304716071521</v>
      </c>
      <c r="I11" s="52">
        <f>-BS!I9+BS!H9</f>
        <v>-5208.7535187678732</v>
      </c>
      <c r="J11" s="52">
        <f>-BS!J9+BS!I9</f>
        <v>-5729.6288706446649</v>
      </c>
      <c r="K11" s="52">
        <f>-BS!K9+BS!J9</f>
        <v>-6302.5917577091168</v>
      </c>
    </row>
    <row r="12" spans="2:11" ht="14.25" customHeight="1" x14ac:dyDescent="0.25">
      <c r="B12" s="51" t="s">
        <v>118</v>
      </c>
      <c r="C12" s="51"/>
      <c r="D12" s="52">
        <f>BS!D16-BS!C16</f>
        <v>10460.399999999998</v>
      </c>
      <c r="E12" s="52">
        <f>BS!E16-BS!D16</f>
        <v>9838</v>
      </c>
      <c r="F12" s="52">
        <f>BS!F16-BS!E16</f>
        <v>-36189.599999999999</v>
      </c>
      <c r="G12" s="52">
        <f>BS!G16-BS!E16</f>
        <v>3829.988088812388</v>
      </c>
      <c r="H12" s="52">
        <f>BS!H16-BS!G16</f>
        <v>4001.9588088812379</v>
      </c>
      <c r="I12" s="52">
        <f>BS!I16-BS!H16</f>
        <v>4402.1546897693697</v>
      </c>
      <c r="J12" s="52">
        <f>BS!J16-BS!I16</f>
        <v>4842.3701587463074</v>
      </c>
      <c r="K12" s="52">
        <f>BS!K16-BS!J16</f>
        <v>5326.6071746209345</v>
      </c>
    </row>
    <row r="13" spans="2:11" ht="14.25" hidden="1" customHeight="1" x14ac:dyDescent="0.25">
      <c r="B13" s="51"/>
      <c r="C13" s="51"/>
      <c r="D13" s="52"/>
      <c r="E13" s="52"/>
      <c r="F13" s="51"/>
      <c r="G13" s="53"/>
      <c r="H13" s="53"/>
      <c r="I13" s="53"/>
      <c r="J13" s="53"/>
      <c r="K13" s="53"/>
    </row>
    <row r="14" spans="2:11" ht="14.25" customHeight="1" x14ac:dyDescent="0.25">
      <c r="B14" s="39" t="s">
        <v>119</v>
      </c>
      <c r="C14" s="39"/>
      <c r="D14" s="54">
        <f t="shared" ref="D14:E14" si="3">D10+D11+D12</f>
        <v>-441.60000000000582</v>
      </c>
      <c r="E14" s="54">
        <f t="shared" si="3"/>
        <v>-5002.7999999999956</v>
      </c>
      <c r="F14" s="59"/>
      <c r="G14" s="56">
        <f>G10+G11+G12</f>
        <v>-4831.3871392348738</v>
      </c>
      <c r="H14" s="56">
        <f t="shared" ref="G14:K14" si="4">H10+H11+H12</f>
        <v>-5843.5387139235027</v>
      </c>
      <c r="I14" s="56">
        <f t="shared" si="4"/>
        <v>-6427.8925853158362</v>
      </c>
      <c r="J14" s="56">
        <f t="shared" si="4"/>
        <v>-7070.6818438474511</v>
      </c>
      <c r="K14" s="56">
        <f t="shared" si="4"/>
        <v>-7777.7500282321562</v>
      </c>
    </row>
    <row r="15" spans="2:11" ht="14.25" customHeight="1" x14ac:dyDescent="0.25">
      <c r="B15" s="60" t="s">
        <v>120</v>
      </c>
      <c r="C15" s="60"/>
      <c r="D15" s="61">
        <f>-(BS!D10-BS!C10)+(BS!D17-BS!C17)</f>
        <v>-2686.2826666666824</v>
      </c>
      <c r="E15" s="61">
        <f>-(BS!E10-BS!D10)+(BS!E17-BS!D17)</f>
        <v>-3570.5095746029638</v>
      </c>
      <c r="F15" s="61">
        <f>-(BS!F10-BS!E10)+(BS!F17-BS!E17)</f>
        <v>9129.3535746029575</v>
      </c>
      <c r="G15" s="61">
        <f>-(BS!G10-BS!E10)+(BS!G17-BS!E17)</f>
        <v>2291.7789341974194</v>
      </c>
      <c r="H15" s="61">
        <f>-(BS!H10-BS!G10)+(BS!H17-BS!G17)</f>
        <v>-683.75746404055371</v>
      </c>
      <c r="I15" s="61">
        <f>-(BS!I10-BS!H10)+(BS!I17-BS!H17)</f>
        <v>-752.13321044460827</v>
      </c>
      <c r="J15" s="61">
        <f>-(BS!J10-BS!I10)+(BS!J17-BS!I17)</f>
        <v>-827.34653148907455</v>
      </c>
      <c r="K15" s="61">
        <f>-(BS!K10-BS!J10)+(BS!K17-BS!J17)</f>
        <v>-910.08118463797837</v>
      </c>
    </row>
    <row r="16" spans="2:11" ht="14.25" hidden="1" customHeight="1" x14ac:dyDescent="0.25">
      <c r="B16" s="60"/>
      <c r="C16" s="60"/>
      <c r="D16" s="57"/>
      <c r="E16" s="57"/>
      <c r="F16" s="51"/>
      <c r="G16" s="58"/>
      <c r="H16" s="58"/>
      <c r="I16" s="58"/>
      <c r="J16" s="58"/>
      <c r="K16" s="58"/>
    </row>
    <row r="17" spans="2:12" ht="14.25" customHeight="1" x14ac:dyDescent="0.25">
      <c r="B17" s="60" t="s">
        <v>121</v>
      </c>
      <c r="C17" s="60"/>
      <c r="D17" s="61">
        <f ca="1">-(BS!D5-BS!C5)+'P&amp;L '!D11</f>
        <v>-8615.7999999999993</v>
      </c>
      <c r="E17" s="61">
        <f ca="1">-(BS!E5-BS!D5)+'P&amp;L '!E11</f>
        <v>-13467.459999999995</v>
      </c>
      <c r="F17" s="61">
        <f>-(BS!F5-BS!E5)+'P&amp;L '!F11</f>
        <v>56109.2</v>
      </c>
      <c r="G17" s="61">
        <f ca="1">-(BS!G5-BS!E5)+'P&amp;L '!G11</f>
        <v>-8372.8707693811848</v>
      </c>
      <c r="H17" s="61">
        <f ca="1">-(BS!H5-BS!G5)+'P&amp;L '!H11</f>
        <v>-11032.259076938124</v>
      </c>
      <c r="I17" s="61">
        <f ca="1">-(BS!I5-BS!H5)+'P&amp;L '!I11</f>
        <v>-12135.484984631947</v>
      </c>
      <c r="J17" s="61">
        <f ca="1">-(BS!J5-BS!I5)+'P&amp;L '!J11</f>
        <v>-13349.033483095143</v>
      </c>
      <c r="K17" s="61">
        <f ca="1">-(BS!K5-BS!J5)+'P&amp;L '!K11</f>
        <v>-14683.936831404637</v>
      </c>
    </row>
    <row r="18" spans="2:12" ht="14.25" hidden="1" customHeight="1" x14ac:dyDescent="0.25">
      <c r="B18" s="60"/>
      <c r="C18" s="60"/>
      <c r="D18" s="61"/>
      <c r="E18" s="61"/>
      <c r="F18" s="51"/>
      <c r="G18" s="58"/>
      <c r="H18" s="58"/>
      <c r="I18" s="58"/>
      <c r="J18" s="58"/>
      <c r="K18" s="58"/>
    </row>
    <row r="19" spans="2:12" ht="14.25" customHeight="1" x14ac:dyDescent="0.25">
      <c r="B19" s="60" t="s">
        <v>122</v>
      </c>
      <c r="C19" s="60"/>
      <c r="D19" s="61">
        <f>-(BS!D4-BS!C4)-(BS!D6-BS!C6)</f>
        <v>-885.39999999999964</v>
      </c>
      <c r="E19" s="61">
        <f>-(BS!E4-BS!D4)-(BS!E6-BS!D6)</f>
        <v>-302</v>
      </c>
      <c r="F19" s="61">
        <f>-(BS!F4-BS!E4)-(BS!F6-BS!E6)</f>
        <v>15973</v>
      </c>
      <c r="G19" s="61">
        <f>-(BS!G4-BS!E4)-(BS!G6-BS!E6)</f>
        <v>0</v>
      </c>
      <c r="H19" s="61">
        <f>-(BS!H4-BS!G4)-(BS!H6-BS!G6)</f>
        <v>0</v>
      </c>
      <c r="I19" s="61">
        <f>-(BS!I4-BS!H4)-(BS!I6-BS!H6)</f>
        <v>0</v>
      </c>
      <c r="J19" s="61">
        <f>-(BS!J4-BS!I4)-(BS!J6-BS!I6)</f>
        <v>0</v>
      </c>
      <c r="K19" s="61">
        <f>-(BS!K4-BS!J4)-(BS!K6-BS!J6)</f>
        <v>0</v>
      </c>
    </row>
    <row r="20" spans="2:12" ht="9" hidden="1" customHeight="1" x14ac:dyDescent="0.25">
      <c r="B20" s="51"/>
      <c r="C20" s="51"/>
      <c r="D20" s="57"/>
      <c r="E20" s="57"/>
      <c r="F20" s="51"/>
      <c r="G20" s="53"/>
      <c r="H20" s="53"/>
      <c r="I20" s="53"/>
      <c r="J20" s="53"/>
      <c r="K20" s="53"/>
    </row>
    <row r="21" spans="2:12" ht="14.25" customHeight="1" x14ac:dyDescent="0.25">
      <c r="B21" s="60" t="s">
        <v>123</v>
      </c>
      <c r="C21" s="63"/>
      <c r="D21" s="61">
        <f ca="1">'P&amp;L '!D14</f>
        <v>-864.30000000000007</v>
      </c>
      <c r="E21" s="61">
        <f ca="1">'P&amp;L '!E14</f>
        <v>-320.26</v>
      </c>
      <c r="F21" s="61">
        <f>'P&amp;L '!F14</f>
        <v>0</v>
      </c>
      <c r="G21" s="61">
        <f>'P&amp;L '!G14</f>
        <v>0</v>
      </c>
      <c r="H21" s="61">
        <f>'P&amp;L '!H14</f>
        <v>0</v>
      </c>
      <c r="I21" s="61">
        <f>'P&amp;L '!I14</f>
        <v>0</v>
      </c>
      <c r="J21" s="61">
        <f>'P&amp;L '!J14</f>
        <v>0</v>
      </c>
      <c r="K21" s="61">
        <f>'P&amp;L '!K14</f>
        <v>0</v>
      </c>
    </row>
    <row r="22" spans="2:12" ht="14.25" customHeight="1" x14ac:dyDescent="0.25">
      <c r="B22" s="92" t="s">
        <v>124</v>
      </c>
      <c r="C22" s="92"/>
      <c r="D22" s="93">
        <f ca="1">SUM(D9,D14,D15,D17,D19,D21)</f>
        <v>3980.52561285912</v>
      </c>
      <c r="E22" s="93">
        <f ca="1">SUM(E9,E14,E15,E17,E19,E21)</f>
        <v>2517.8756635668306</v>
      </c>
      <c r="F22" s="92"/>
      <c r="G22" s="94">
        <f ca="1">SUM(G9,G14,G15,G17,G19,G21)</f>
        <v>18344.80886558137</v>
      </c>
      <c r="H22" s="94">
        <f ca="1">SUM(H9,H14,H15,H17,H19,H21)</f>
        <v>14411.491369097806</v>
      </c>
      <c r="I22" s="94">
        <f ca="1">SUM(I9,I14,I15,I17,I19,I21)</f>
        <v>15640.670506007611</v>
      </c>
      <c r="J22" s="94">
        <f ca="1">SUM(J9,J14,J15,J17,J19,J21)</f>
        <v>16992.767556608327</v>
      </c>
      <c r="K22" s="94">
        <f ca="1">SUM(K9,K14,K15,K17,K19,K21)</f>
        <v>18480.074312269237</v>
      </c>
      <c r="L22" s="95"/>
    </row>
    <row r="23" spans="2:12" ht="14.25" customHeight="1" x14ac:dyDescent="0.25">
      <c r="B23" s="11" t="s">
        <v>125</v>
      </c>
      <c r="C23" s="62"/>
      <c r="D23" s="52">
        <f ca="1">'P&amp;L '!D13</f>
        <v>-2190.9</v>
      </c>
      <c r="E23" s="52">
        <f ca="1">'P&amp;L '!E13</f>
        <v>-2663.92</v>
      </c>
      <c r="F23" s="52">
        <f>'P&amp;L '!F13</f>
        <v>0</v>
      </c>
      <c r="G23" s="52">
        <f ca="1">'P&amp;L '!G13</f>
        <v>-2663.92</v>
      </c>
      <c r="H23" s="52">
        <f ca="1">'P&amp;L '!H13</f>
        <v>-2663.92</v>
      </c>
      <c r="I23" s="52">
        <f ca="1">'P&amp;L '!I13</f>
        <v>-2663.92</v>
      </c>
      <c r="J23" s="52">
        <f ca="1">'P&amp;L '!J13</f>
        <v>-2663.92</v>
      </c>
      <c r="K23" s="52">
        <f ca="1">'P&amp;L '!K13</f>
        <v>-2663.92</v>
      </c>
    </row>
    <row r="24" spans="2:12" ht="14.25" customHeight="1" x14ac:dyDescent="0.25">
      <c r="B24" s="11" t="s">
        <v>126</v>
      </c>
      <c r="C24" s="51"/>
      <c r="D24" s="97">
        <f ca="1">'P&amp;L '!D17-'Cash Flow'!D5</f>
        <v>689.83572047421012</v>
      </c>
      <c r="E24" s="97">
        <f ca="1">'P&amp;L '!E17-'Cash Flow'!E5</f>
        <v>565.08833643320941</v>
      </c>
      <c r="F24" s="97">
        <f>'P&amp;L '!F17-'Cash Flow'!F5</f>
        <v>0</v>
      </c>
      <c r="G24" s="97">
        <f ca="1">'P&amp;L '!G17-'Cash Flow'!G5</f>
        <v>479.50560000000041</v>
      </c>
      <c r="H24" s="97">
        <f ca="1">'P&amp;L '!H17-'Cash Flow'!H5</f>
        <v>479.5055999999995</v>
      </c>
      <c r="I24" s="97">
        <f ca="1">'P&amp;L '!I17-'Cash Flow'!I5</f>
        <v>479.5055999999995</v>
      </c>
      <c r="J24" s="97">
        <f ca="1">'P&amp;L '!J17-'Cash Flow'!J5</f>
        <v>479.50560000000041</v>
      </c>
      <c r="K24" s="97">
        <f ca="1">'P&amp;L '!K17-'Cash Flow'!K5</f>
        <v>479.5055999999995</v>
      </c>
    </row>
    <row r="25" spans="2:12" ht="14.25" customHeight="1" x14ac:dyDescent="0.25">
      <c r="B25" s="11" t="s">
        <v>127</v>
      </c>
      <c r="C25" s="64"/>
      <c r="D25" s="96">
        <f>BS!D19-BS!C19</f>
        <v>9352.3999999999942</v>
      </c>
      <c r="E25" s="96">
        <f>BS!E19-BS!D19</f>
        <v>475.39999999999418</v>
      </c>
      <c r="F25" s="96">
        <f>BS!F19-BS!E19</f>
        <v>-51120.799999999996</v>
      </c>
      <c r="G25" s="96"/>
      <c r="H25" s="96"/>
      <c r="I25" s="96"/>
      <c r="J25" s="96"/>
      <c r="K25" s="96"/>
    </row>
    <row r="26" spans="2:12" ht="14.25" customHeight="1" x14ac:dyDescent="0.25">
      <c r="B26" s="11" t="s">
        <v>128</v>
      </c>
      <c r="C26" s="64"/>
      <c r="D26" s="52">
        <f ca="1">BS!D21-BS!C21-'P&amp;L '!D18</f>
        <v>-4214.2613333332665</v>
      </c>
      <c r="E26" s="52">
        <f ca="1">BS!E21-BS!D21-'P&amp;L '!E18</f>
        <v>-12129.644000000022</v>
      </c>
      <c r="F26" s="65"/>
      <c r="G26" s="53"/>
      <c r="H26" s="53"/>
      <c r="I26" s="53"/>
      <c r="J26" s="53"/>
      <c r="K26" s="53"/>
    </row>
    <row r="27" spans="2:12" ht="14.25" customHeight="1" x14ac:dyDescent="0.25">
      <c r="B27" s="92" t="s">
        <v>129</v>
      </c>
      <c r="C27" s="92"/>
      <c r="D27" s="93">
        <f ca="1">D22+D23+D24+D25+D26</f>
        <v>7617.6000000000568</v>
      </c>
      <c r="E27" s="93">
        <f ca="1">E24+E23+E25+E26+E22</f>
        <v>-11235.199999999988</v>
      </c>
      <c r="F27" s="92"/>
      <c r="G27" s="94">
        <f ca="1">G22+G23+G24+G25+G26</f>
        <v>16160.39446558137</v>
      </c>
      <c r="H27" s="94">
        <f ca="1">H22+H23+H24+H25+H26</f>
        <v>12227.076969097805</v>
      </c>
      <c r="I27" s="94">
        <f ca="1">I22+I23+I24+I25+I26</f>
        <v>13456.256106007611</v>
      </c>
      <c r="J27" s="94">
        <f ca="1">J22+J23+J24+J25+J26</f>
        <v>14808.353156608327</v>
      </c>
      <c r="K27" s="94">
        <f ca="1">K22+K23+K24+K25+K26</f>
        <v>16295.659912269235</v>
      </c>
    </row>
    <row r="28" spans="2:12" ht="14.25" customHeight="1" x14ac:dyDescent="0.25">
      <c r="B28" s="51"/>
      <c r="C28" s="51"/>
      <c r="D28" s="57"/>
      <c r="E28" s="57"/>
      <c r="F28" s="51"/>
      <c r="G28" s="53"/>
      <c r="H28" s="53"/>
      <c r="I28" s="53"/>
      <c r="J28" s="53"/>
      <c r="K28" s="53"/>
    </row>
    <row r="29" spans="2:12" ht="14.25" customHeight="1" x14ac:dyDescent="0.25">
      <c r="B29" s="64" t="s">
        <v>130</v>
      </c>
      <c r="C29" s="64"/>
      <c r="D29" s="66">
        <f>BS!C12</f>
        <v>11791.199999999999</v>
      </c>
      <c r="E29" s="66">
        <f>BS!D12</f>
        <v>19408.8</v>
      </c>
      <c r="F29" s="51"/>
      <c r="G29" s="67">
        <f>BS!E12</f>
        <v>8173.6</v>
      </c>
      <c r="H29" s="67">
        <f ca="1">BS!G12</f>
        <v>24333.994465581371</v>
      </c>
      <c r="I29" s="67">
        <f ca="1">BS!H12</f>
        <v>36561.071434679179</v>
      </c>
      <c r="J29" s="67">
        <f ca="1">BS!I12</f>
        <v>50017.327540686791</v>
      </c>
      <c r="K29" s="67">
        <f ca="1">BS!J12</f>
        <v>64825.680697295116</v>
      </c>
    </row>
    <row r="30" spans="2:12" ht="14.25" customHeight="1" x14ac:dyDescent="0.25">
      <c r="B30" s="64" t="s">
        <v>131</v>
      </c>
      <c r="C30" s="64"/>
      <c r="D30" s="66">
        <f t="shared" ref="D30:E30" ca="1" si="5">D29+D27</f>
        <v>19408.800000000054</v>
      </c>
      <c r="E30" s="66">
        <f t="shared" ca="1" si="5"/>
        <v>8173.6000000000113</v>
      </c>
      <c r="F30" s="51"/>
      <c r="G30" s="67">
        <f t="shared" ref="G30:K30" ca="1" si="6">G29+G27</f>
        <v>24333.994465581371</v>
      </c>
      <c r="H30" s="67">
        <f t="shared" ca="1" si="6"/>
        <v>36561.071434679179</v>
      </c>
      <c r="I30" s="67">
        <f t="shared" ca="1" si="6"/>
        <v>50017.327540686791</v>
      </c>
      <c r="J30" s="67">
        <f t="shared" ca="1" si="6"/>
        <v>64825.680697295116</v>
      </c>
      <c r="K30" s="67">
        <f t="shared" ca="1" si="6"/>
        <v>81121.340609564359</v>
      </c>
    </row>
    <row r="31" spans="2:12" ht="14.25" customHeight="1" x14ac:dyDescent="0.25">
      <c r="B31" s="51"/>
      <c r="C31" s="51"/>
      <c r="D31" s="68"/>
      <c r="E31" s="68"/>
      <c r="F31" s="51"/>
      <c r="G31" s="51"/>
      <c r="H31" s="51"/>
      <c r="I31" s="51"/>
      <c r="J31" s="51"/>
      <c r="K31" s="51"/>
    </row>
    <row r="32" spans="2:12" ht="14.25" customHeight="1" x14ac:dyDescent="0.25">
      <c r="B32" s="64" t="s">
        <v>112</v>
      </c>
      <c r="C32" s="64"/>
      <c r="D32" s="69">
        <f ca="1">BS!D12-'Cash Flow'!D30</f>
        <v>-5.4569682106375694E-11</v>
      </c>
      <c r="E32" s="69">
        <f ca="1">BS!E12-'Cash Flow'!E30</f>
        <v>-1.0913936421275139E-11</v>
      </c>
      <c r="F32" s="51"/>
      <c r="G32" s="64">
        <f ca="1">BS!G12-'Cash Flow'!G30</f>
        <v>0</v>
      </c>
      <c r="H32" s="64">
        <f ca="1">BS!H12-'Cash Flow'!H30</f>
        <v>0</v>
      </c>
      <c r="I32" s="64">
        <f ca="1">BS!I12-'Cash Flow'!I30</f>
        <v>0</v>
      </c>
      <c r="J32" s="64">
        <f ca="1">BS!J12-'Cash Flow'!J30</f>
        <v>0</v>
      </c>
      <c r="K32" s="64">
        <f ca="1">BS!K12-'Cash Flow'!K30</f>
        <v>0</v>
      </c>
    </row>
    <row r="33" spans="2:11" ht="14.25" customHeight="1" x14ac:dyDescent="0.25">
      <c r="B33" s="64"/>
      <c r="C33" s="64"/>
      <c r="D33" s="68"/>
      <c r="E33" s="68"/>
      <c r="F33" s="51"/>
      <c r="G33" s="64"/>
      <c r="H33" s="51"/>
      <c r="I33" s="51"/>
      <c r="J33" s="51"/>
      <c r="K33" s="51"/>
    </row>
    <row r="34" spans="2:11" ht="14.25" customHeight="1" x14ac:dyDescent="0.25">
      <c r="B34" s="51"/>
      <c r="C34" s="51"/>
      <c r="D34" s="51"/>
      <c r="E34" s="51"/>
      <c r="F34" s="51"/>
      <c r="G34" s="51"/>
      <c r="H34" s="51"/>
      <c r="I34" s="51"/>
      <c r="J34" s="51"/>
      <c r="K34" s="51"/>
    </row>
    <row r="35" spans="2:11" ht="14.25" customHeight="1" x14ac:dyDescent="0.25"/>
    <row r="36" spans="2:11" ht="14.25" customHeight="1" x14ac:dyDescent="0.25"/>
    <row r="37" spans="2:11" ht="14.25" customHeight="1" x14ac:dyDescent="0.25"/>
    <row r="38" spans="2:11" ht="14.25" customHeight="1" x14ac:dyDescent="0.25"/>
    <row r="39" spans="2:11" ht="14.25" customHeight="1" x14ac:dyDescent="0.25"/>
    <row r="40" spans="2:11" ht="14.25" customHeight="1" x14ac:dyDescent="0.25"/>
    <row r="41" spans="2:11" ht="14.25" customHeight="1" x14ac:dyDescent="0.25"/>
    <row r="42" spans="2:11" ht="14.25" customHeight="1" x14ac:dyDescent="0.25"/>
    <row r="43" spans="2:11" ht="14.25" customHeight="1" x14ac:dyDescent="0.25"/>
    <row r="44" spans="2:11" ht="14.25" customHeight="1" x14ac:dyDescent="0.25"/>
    <row r="45" spans="2:11" ht="14.25" customHeight="1" x14ac:dyDescent="0.25"/>
    <row r="46" spans="2:11" ht="14.25" customHeight="1" x14ac:dyDescent="0.25"/>
    <row r="47" spans="2:11" ht="14.25" customHeight="1" x14ac:dyDescent="0.25"/>
    <row r="48" spans="2:1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abSelected="1" zoomScale="145" zoomScaleNormal="145" workbookViewId="0">
      <selection activeCell="E10" sqref="E10"/>
    </sheetView>
  </sheetViews>
  <sheetFormatPr defaultColWidth="12.59765625" defaultRowHeight="15" customHeight="1" x14ac:dyDescent="0.25"/>
  <cols>
    <col min="1" max="1" width="3.3984375" customWidth="1"/>
    <col min="2" max="2" width="19.59765625" customWidth="1"/>
    <col min="3" max="4" width="8.69921875" customWidth="1"/>
    <col min="5" max="5" width="13.09765625" customWidth="1"/>
    <col min="6" max="6" width="2.3984375" customWidth="1"/>
    <col min="7" max="7" width="10" customWidth="1"/>
    <col min="8" max="11" width="8.69921875" customWidth="1"/>
    <col min="12" max="26" width="14.3984375" customWidth="1"/>
  </cols>
  <sheetData>
    <row r="1" spans="1:26" ht="14.25" customHeight="1" x14ac:dyDescent="0.3">
      <c r="A1" s="37"/>
      <c r="B1" s="10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25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4.25" customHeight="1" x14ac:dyDescent="0.25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4.25" customHeight="1" x14ac:dyDescent="0.25">
      <c r="A4" s="37"/>
      <c r="B4" s="11" t="s">
        <v>132</v>
      </c>
      <c r="C4" s="70">
        <v>0.1</v>
      </c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4.25" customHeight="1" x14ac:dyDescent="0.25">
      <c r="A5" s="37"/>
      <c r="B5" s="11" t="s">
        <v>133</v>
      </c>
      <c r="C5" s="70">
        <v>0.02</v>
      </c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4.25" customHeight="1" x14ac:dyDescent="0.25">
      <c r="A6" s="37"/>
      <c r="B6" s="38"/>
      <c r="C6" s="38"/>
      <c r="D6" s="38"/>
      <c r="E6" s="38"/>
      <c r="F6" s="38"/>
      <c r="G6" s="71">
        <v>1</v>
      </c>
      <c r="H6" s="71">
        <v>2</v>
      </c>
      <c r="I6" s="71">
        <v>3</v>
      </c>
      <c r="J6" s="71">
        <v>4</v>
      </c>
      <c r="K6" s="71">
        <v>5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22.8" customHeight="1" x14ac:dyDescent="0.25">
      <c r="A7" s="37"/>
      <c r="B7" s="22" t="s">
        <v>68</v>
      </c>
      <c r="C7" s="23" t="s">
        <v>69</v>
      </c>
      <c r="D7" s="23" t="s">
        <v>70</v>
      </c>
      <c r="E7" s="23" t="s">
        <v>71</v>
      </c>
      <c r="F7" s="38"/>
      <c r="G7" s="25" t="s">
        <v>72</v>
      </c>
      <c r="H7" s="25" t="s">
        <v>73</v>
      </c>
      <c r="I7" s="25" t="s">
        <v>74</v>
      </c>
      <c r="J7" s="25" t="s">
        <v>75</v>
      </c>
      <c r="K7" s="25" t="s">
        <v>76</v>
      </c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4.25" customHeight="1" x14ac:dyDescent="0.25">
      <c r="A8" s="37"/>
      <c r="B8" s="11" t="s">
        <v>124</v>
      </c>
      <c r="C8" s="38"/>
      <c r="D8" s="27">
        <f ca="1">'Cash Flow'!D22</f>
        <v>3980.52561285912</v>
      </c>
      <c r="E8" s="27">
        <f ca="1">'Cash Flow'!E22</f>
        <v>2517.8756635668306</v>
      </c>
      <c r="F8" s="41">
        <f>'Cash Flow'!F22</f>
        <v>0</v>
      </c>
      <c r="G8" s="72">
        <f ca="1">'Cash Flow'!G22</f>
        <v>18344.80886558137</v>
      </c>
      <c r="H8" s="72">
        <f ca="1">'Cash Flow'!H22</f>
        <v>14411.491369097806</v>
      </c>
      <c r="I8" s="72">
        <f ca="1">'Cash Flow'!I22</f>
        <v>15640.670506007611</v>
      </c>
      <c r="J8" s="72">
        <f ca="1">'Cash Flow'!J22</f>
        <v>16992.767556608327</v>
      </c>
      <c r="K8" s="72">
        <f ca="1">'Cash Flow'!K22</f>
        <v>18480.074312269237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4.25" customHeight="1" x14ac:dyDescent="0.25">
      <c r="A9" s="37"/>
      <c r="B9" s="38"/>
      <c r="C9" s="38"/>
      <c r="D9" s="38"/>
      <c r="E9" s="38"/>
      <c r="F9" s="38"/>
      <c r="G9" s="73"/>
      <c r="H9" s="73"/>
      <c r="I9" s="73"/>
      <c r="J9" s="73"/>
      <c r="K9" s="73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4.25" customHeight="1" x14ac:dyDescent="0.25">
      <c r="A10" s="37"/>
      <c r="B10" s="11" t="s">
        <v>134</v>
      </c>
      <c r="C10" s="38"/>
      <c r="D10" s="38"/>
      <c r="E10" s="38"/>
      <c r="F10" s="38"/>
      <c r="G10" s="74">
        <f t="shared" ref="G10:K10" si="0">1/(1+$C$4)^G6</f>
        <v>0.90909090909090906</v>
      </c>
      <c r="H10" s="74">
        <f t="shared" si="0"/>
        <v>0.82644628099173545</v>
      </c>
      <c r="I10" s="74">
        <f t="shared" si="0"/>
        <v>0.75131480090157754</v>
      </c>
      <c r="J10" s="74">
        <f t="shared" si="0"/>
        <v>0.68301345536507052</v>
      </c>
      <c r="K10" s="74">
        <f t="shared" si="0"/>
        <v>0.62092132305915493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4.25" customHeight="1" x14ac:dyDescent="0.25">
      <c r="A11" s="37"/>
      <c r="B11" s="39" t="s">
        <v>135</v>
      </c>
      <c r="C11" s="75"/>
      <c r="D11" s="75"/>
      <c r="E11" s="75"/>
      <c r="F11" s="76"/>
      <c r="G11" s="77">
        <f t="shared" ref="G11:K11" ca="1" si="1">G8*G10</f>
        <v>16677.098968710336</v>
      </c>
      <c r="H11" s="77">
        <f t="shared" ca="1" si="1"/>
        <v>11910.323445535376</v>
      </c>
      <c r="I11" s="77">
        <f t="shared" ca="1" si="1"/>
        <v>11751.067247188284</v>
      </c>
      <c r="J11" s="77">
        <f t="shared" ca="1" si="1"/>
        <v>11606.288885054521</v>
      </c>
      <c r="K11" s="77">
        <f t="shared" ca="1" si="1"/>
        <v>11474.672192205717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4.25" customHeight="1" x14ac:dyDescent="0.25">
      <c r="A12" s="37"/>
      <c r="B12" s="38"/>
      <c r="C12" s="38"/>
      <c r="D12" s="38"/>
      <c r="E12" s="38"/>
      <c r="F12" s="38"/>
      <c r="G12" s="78"/>
      <c r="H12" s="41"/>
      <c r="I12" s="41"/>
      <c r="J12" s="41"/>
      <c r="K12" s="41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4.25" customHeight="1" x14ac:dyDescent="0.25">
      <c r="A13" s="37"/>
      <c r="B13" s="38"/>
      <c r="C13" s="38"/>
      <c r="D13" s="38"/>
      <c r="E13" s="38"/>
      <c r="F13" s="38"/>
      <c r="G13" s="78"/>
      <c r="H13" s="41"/>
      <c r="I13" s="41"/>
      <c r="J13" s="41"/>
      <c r="K13" s="41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4.25" customHeight="1" x14ac:dyDescent="0.25">
      <c r="A14" s="37"/>
      <c r="B14" s="98" t="s">
        <v>0</v>
      </c>
      <c r="C14" s="99"/>
      <c r="D14" s="99"/>
      <c r="E14" s="99"/>
      <c r="F14" s="99"/>
      <c r="G14" s="99"/>
      <c r="H14" s="99"/>
      <c r="I14" s="99"/>
      <c r="J14" s="99"/>
      <c r="K14" s="99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4.25" customHeight="1" x14ac:dyDescent="0.25">
      <c r="A15" s="37"/>
      <c r="B15" s="11" t="s">
        <v>136</v>
      </c>
      <c r="C15" s="38"/>
      <c r="D15" s="38"/>
      <c r="E15" s="27">
        <f ca="1">SUM(G11:K11)</f>
        <v>63419.450738694235</v>
      </c>
      <c r="F15" s="38"/>
      <c r="G15" s="78"/>
      <c r="H15" s="41"/>
      <c r="I15" s="41"/>
      <c r="J15" s="41"/>
      <c r="K15" s="41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4.25" customHeight="1" x14ac:dyDescent="0.25">
      <c r="A16" s="37"/>
      <c r="B16" s="11" t="s">
        <v>137</v>
      </c>
      <c r="C16" s="38"/>
      <c r="D16" s="38"/>
      <c r="E16" s="27">
        <f ca="1">K8*(1+C5)/(C4-C5)</f>
        <v>235620.94748143276</v>
      </c>
      <c r="F16" s="38"/>
      <c r="G16" s="38"/>
      <c r="H16" s="38"/>
      <c r="I16" s="38"/>
      <c r="J16" s="38"/>
      <c r="K16" s="38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4.25" customHeight="1" x14ac:dyDescent="0.25">
      <c r="A17" s="37"/>
      <c r="B17" s="11" t="s">
        <v>138</v>
      </c>
      <c r="C17" s="38"/>
      <c r="D17" s="38"/>
      <c r="E17" s="27">
        <f ca="1">E16*K10</f>
        <v>146302.07045062288</v>
      </c>
      <c r="F17" s="38"/>
      <c r="G17" s="38"/>
      <c r="H17" s="38"/>
      <c r="I17" s="38"/>
      <c r="J17" s="38"/>
      <c r="K17" s="3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4.25" customHeight="1" x14ac:dyDescent="0.25">
      <c r="A18" s="37"/>
      <c r="B18" s="15" t="s">
        <v>139</v>
      </c>
      <c r="C18" s="75"/>
      <c r="D18" s="75"/>
      <c r="E18" s="27">
        <f ca="1">E15+E17</f>
        <v>209721.52118931711</v>
      </c>
      <c r="F18" s="38"/>
      <c r="G18" s="38"/>
      <c r="H18" s="38"/>
      <c r="I18" s="38"/>
      <c r="J18" s="38"/>
      <c r="K18" s="38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4.25" customHeight="1" x14ac:dyDescent="0.25">
      <c r="A19" s="37"/>
      <c r="B19" s="11" t="s">
        <v>140</v>
      </c>
      <c r="C19" s="38"/>
      <c r="D19" s="38"/>
      <c r="E19" s="27">
        <f>-BS!E19</f>
        <v>-51120.799999999996</v>
      </c>
      <c r="F19" s="38"/>
      <c r="G19" s="38"/>
      <c r="H19" s="38"/>
      <c r="I19" s="38"/>
      <c r="J19" s="38"/>
      <c r="K19" s="38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4.25" customHeight="1" x14ac:dyDescent="0.25">
      <c r="A20" s="37"/>
      <c r="B20" s="11" t="s">
        <v>141</v>
      </c>
      <c r="C20" s="38"/>
      <c r="D20" s="38"/>
      <c r="E20" s="27">
        <f>BS!E12</f>
        <v>8173.6</v>
      </c>
      <c r="F20" s="38"/>
      <c r="G20" s="38"/>
      <c r="H20" s="38"/>
      <c r="I20" s="38"/>
      <c r="J20" s="38"/>
      <c r="K20" s="38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4.25" customHeight="1" x14ac:dyDescent="0.25">
      <c r="A21" s="37"/>
      <c r="B21" s="15" t="s">
        <v>142</v>
      </c>
      <c r="C21" s="75"/>
      <c r="D21" s="75"/>
      <c r="E21" s="27">
        <f ca="1">E18+E19+E20</f>
        <v>166774.32118931712</v>
      </c>
      <c r="F21" s="38"/>
      <c r="G21" s="41">
        <f>C18</f>
        <v>0</v>
      </c>
      <c r="H21" s="79">
        <v>0.09</v>
      </c>
      <c r="I21" s="79">
        <v>0.1</v>
      </c>
      <c r="J21" s="79">
        <v>0.11</v>
      </c>
      <c r="K21" s="79">
        <v>0.12</v>
      </c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4.25" customHeight="1" x14ac:dyDescent="0.25">
      <c r="A22" s="37"/>
      <c r="B22" s="38"/>
      <c r="C22" s="38"/>
      <c r="D22" s="38"/>
      <c r="E22" s="38"/>
      <c r="F22" s="38"/>
      <c r="G22" s="80">
        <v>0.01</v>
      </c>
      <c r="H22" s="41"/>
      <c r="I22" s="41"/>
      <c r="J22" s="41"/>
      <c r="K22" s="41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4.25" customHeight="1" x14ac:dyDescent="0.25">
      <c r="A23" s="37"/>
      <c r="B23" s="38"/>
      <c r="C23" s="38"/>
      <c r="D23" s="38"/>
      <c r="E23" s="38"/>
      <c r="F23" s="38"/>
      <c r="G23" s="80">
        <v>0.02</v>
      </c>
      <c r="H23" s="41"/>
      <c r="I23" s="41"/>
      <c r="J23" s="41"/>
      <c r="K23" s="41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4.25" customHeight="1" x14ac:dyDescent="0.25">
      <c r="A24" s="37"/>
      <c r="B24" s="38"/>
      <c r="C24" s="38"/>
      <c r="D24" s="38"/>
      <c r="E24" s="38"/>
      <c r="F24" s="38"/>
      <c r="G24" s="80">
        <v>0.03</v>
      </c>
      <c r="H24" s="41"/>
      <c r="I24" s="41"/>
      <c r="J24" s="41"/>
      <c r="K24" s="41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4.25" customHeight="1" x14ac:dyDescent="0.25">
      <c r="A25" s="37"/>
      <c r="B25" s="38"/>
      <c r="C25" s="38"/>
      <c r="D25" s="38"/>
      <c r="E25" s="38"/>
      <c r="F25" s="38"/>
      <c r="G25" s="80">
        <v>0.04</v>
      </c>
      <c r="H25" s="41"/>
      <c r="I25" s="41"/>
      <c r="J25" s="41"/>
      <c r="K25" s="41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4.25" customHeight="1" x14ac:dyDescent="0.25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4.25" customHeight="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4.25" customHeight="1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4.25" customHeight="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4.25" customHeight="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4.25" customHeight="1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4.25" customHeight="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4.25" customHeight="1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4.25" customHeight="1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4.25" customHeight="1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4.25" customHeight="1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4.2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4.25" customHeight="1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4.25" customHeight="1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4.25" customHeight="1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4.25" customHeight="1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4.25" customHeight="1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4.25" customHeight="1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4.25" customHeight="1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4.25" customHeight="1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4.25" customHeight="1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4.25" customHeight="1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4.25" customHeight="1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4.25" customHeight="1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4.25" customHeight="1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4.25" customHeight="1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4.25" customHeight="1" x14ac:dyDescent="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4.25" customHeight="1" x14ac:dyDescent="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4.25" customHeight="1" x14ac:dyDescent="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4.25" customHeight="1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4.25" customHeight="1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4.25" customHeight="1" x14ac:dyDescent="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4.25" customHeight="1" x14ac:dyDescent="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4.25" customHeight="1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4.25" customHeight="1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4.25" customHeight="1" x14ac:dyDescent="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4.25" customHeight="1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4.25" customHeight="1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4.25" customHeight="1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4.25" customHeight="1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4.25" customHeight="1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4.25" customHeight="1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4.25" customHeight="1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4.25" customHeight="1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4.25" customHeight="1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4.25" customHeight="1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4.25" customHeight="1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4.25" customHeight="1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4.25" customHeight="1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4.25" customHeight="1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4.25" customHeight="1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4.25" customHeight="1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4.25" customHeight="1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4.25" customHeight="1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4.2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4.25" customHeight="1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4.25" customHeight="1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4.25" customHeight="1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4.25" customHeight="1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4.25" customHeight="1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4.25" customHeight="1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4.25" customHeight="1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4.25" customHeight="1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4.25" customHeight="1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4.25" customHeight="1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4.25" customHeight="1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4.25" customHeight="1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4.25" customHeight="1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4.25" customHeight="1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4.25" customHeight="1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4.25" customHeight="1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4.25" customHeight="1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4.25" customHeight="1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4.25" customHeight="1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4.25" customHeight="1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75" customHeight="1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75" customHeight="1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75" customHeight="1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75" customHeight="1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75" customHeight="1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75" customHeight="1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75" customHeight="1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75" customHeight="1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75" customHeight="1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75" customHeight="1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75" customHeight="1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75" customHeight="1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75" customHeight="1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75" customHeight="1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75" customHeight="1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75" customHeight="1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75" customHeight="1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75" customHeight="1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75" customHeight="1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75" customHeight="1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75" customHeight="1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75" customHeight="1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75" customHeight="1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75" customHeight="1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75" customHeight="1" x14ac:dyDescent="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75" customHeight="1" x14ac:dyDescent="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75" customHeight="1" x14ac:dyDescent="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75" customHeight="1" x14ac:dyDescent="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75" customHeight="1" x14ac:dyDescent="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75" customHeight="1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75" customHeight="1" x14ac:dyDescent="0.2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75" customHeight="1" x14ac:dyDescent="0.2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75" customHeight="1" x14ac:dyDescent="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75" customHeight="1" x14ac:dyDescent="0.2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75" customHeight="1" x14ac:dyDescent="0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75" customHeight="1" x14ac:dyDescent="0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75" customHeight="1" x14ac:dyDescent="0.2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75" customHeight="1" x14ac:dyDescent="0.2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75" customHeight="1" x14ac:dyDescent="0.2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75" customHeight="1" x14ac:dyDescent="0.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75" customHeight="1" x14ac:dyDescent="0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75" customHeight="1" x14ac:dyDescent="0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75" customHeight="1" x14ac:dyDescent="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75" customHeight="1" x14ac:dyDescent="0.2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75" customHeight="1" x14ac:dyDescent="0.2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75" customHeight="1" x14ac:dyDescent="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75" customHeight="1" x14ac:dyDescent="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75" customHeight="1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75" customHeight="1" x14ac:dyDescent="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75" customHeight="1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75" customHeight="1" x14ac:dyDescent="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75" customHeight="1" x14ac:dyDescent="0.2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75" customHeight="1" x14ac:dyDescent="0.2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75" customHeight="1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75" customHeight="1" x14ac:dyDescent="0.2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75" customHeight="1" x14ac:dyDescent="0.2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75" customHeight="1" x14ac:dyDescent="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75" customHeight="1" x14ac:dyDescent="0.2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75" customHeight="1" x14ac:dyDescent="0.2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75" customHeight="1" x14ac:dyDescent="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75" customHeight="1" x14ac:dyDescent="0.2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75" customHeight="1" x14ac:dyDescent="0.2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75" customHeight="1" x14ac:dyDescent="0.2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75" customHeight="1" x14ac:dyDescent="0.2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75" customHeight="1" x14ac:dyDescent="0.2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75" customHeight="1" x14ac:dyDescent="0.2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75" customHeight="1" x14ac:dyDescent="0.2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75" customHeight="1" x14ac:dyDescent="0.2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75" customHeight="1" x14ac:dyDescent="0.2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75" customHeight="1" x14ac:dyDescent="0.2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75" customHeight="1" x14ac:dyDescent="0.2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75" customHeight="1" x14ac:dyDescent="0.2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75" customHeight="1" x14ac:dyDescent="0.2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75" customHeight="1" x14ac:dyDescent="0.2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75" customHeight="1" x14ac:dyDescent="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75" customHeight="1" x14ac:dyDescent="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75" customHeight="1" x14ac:dyDescent="0.2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75" customHeight="1" x14ac:dyDescent="0.2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75" customHeight="1" x14ac:dyDescent="0.2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75" customHeight="1" x14ac:dyDescent="0.2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75" customHeight="1" x14ac:dyDescent="0.2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75" customHeight="1" x14ac:dyDescent="0.2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75" customHeight="1" x14ac:dyDescent="0.2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75" customHeight="1" x14ac:dyDescent="0.2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75" customHeight="1" x14ac:dyDescent="0.2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75" customHeight="1" x14ac:dyDescent="0.2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75" customHeight="1" x14ac:dyDescent="0.2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75" customHeight="1" x14ac:dyDescent="0.2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75" customHeight="1" x14ac:dyDescent="0.2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75" customHeight="1" x14ac:dyDescent="0.2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75" customHeight="1" x14ac:dyDescent="0.2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75" customHeight="1" x14ac:dyDescent="0.2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75" customHeight="1" x14ac:dyDescent="0.2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75" customHeight="1" x14ac:dyDescent="0.2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75" customHeight="1" x14ac:dyDescent="0.2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75" customHeight="1" x14ac:dyDescent="0.2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75" customHeight="1" x14ac:dyDescent="0.2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75" customHeight="1" x14ac:dyDescent="0.2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75" customHeight="1" x14ac:dyDescent="0.2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75" customHeight="1" x14ac:dyDescent="0.2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75" customHeight="1" x14ac:dyDescent="0.2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75" customHeight="1" x14ac:dyDescent="0.2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75" customHeight="1" x14ac:dyDescent="0.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75" customHeight="1" x14ac:dyDescent="0.2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75" customHeight="1" x14ac:dyDescent="0.2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75" customHeight="1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75" customHeight="1" x14ac:dyDescent="0.2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75" customHeight="1" x14ac:dyDescent="0.2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75" customHeight="1" x14ac:dyDescent="0.2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75" customHeight="1" x14ac:dyDescent="0.2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75" customHeight="1" x14ac:dyDescent="0.2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75" customHeight="1" x14ac:dyDescent="0.2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75" customHeight="1" x14ac:dyDescent="0.2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75" customHeight="1" x14ac:dyDescent="0.2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75" customHeight="1" x14ac:dyDescent="0.2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75" customHeight="1" x14ac:dyDescent="0.2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75" customHeight="1" x14ac:dyDescent="0.2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75" customHeight="1" x14ac:dyDescent="0.2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75" customHeight="1" x14ac:dyDescent="0.2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75" customHeight="1" x14ac:dyDescent="0.2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75" customHeight="1" x14ac:dyDescent="0.2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75" customHeight="1" x14ac:dyDescent="0.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75" customHeight="1" x14ac:dyDescent="0.2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75" customHeight="1" x14ac:dyDescent="0.2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75" customHeight="1" x14ac:dyDescent="0.2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75" customHeight="1" x14ac:dyDescent="0.2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75" customHeight="1" x14ac:dyDescent="0.2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75" customHeight="1" x14ac:dyDescent="0.2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75" customHeight="1" x14ac:dyDescent="0.2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75" customHeight="1" x14ac:dyDescent="0.2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75" customHeight="1" x14ac:dyDescent="0.2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75" customHeight="1" x14ac:dyDescent="0.2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75" customHeight="1" x14ac:dyDescent="0.2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75" customHeight="1" x14ac:dyDescent="0.2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75" customHeight="1" x14ac:dyDescent="0.2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75" customHeight="1" x14ac:dyDescent="0.2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75" customHeight="1" x14ac:dyDescent="0.2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75" customHeight="1" x14ac:dyDescent="0.2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75" customHeight="1" x14ac:dyDescent="0.2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75" customHeight="1" x14ac:dyDescent="0.2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75" customHeight="1" x14ac:dyDescent="0.2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75" customHeight="1" x14ac:dyDescent="0.2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75" customHeight="1" x14ac:dyDescent="0.2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75" customHeight="1" x14ac:dyDescent="0.2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75" customHeight="1" x14ac:dyDescent="0.2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75" customHeight="1" x14ac:dyDescent="0.2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75" customHeight="1" x14ac:dyDescent="0.2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75" customHeight="1" x14ac:dyDescent="0.2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75" customHeight="1" x14ac:dyDescent="0.2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75" customHeight="1" x14ac:dyDescent="0.2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75" customHeight="1" x14ac:dyDescent="0.2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75" customHeight="1" x14ac:dyDescent="0.2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75" customHeight="1" x14ac:dyDescent="0.2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75" customHeight="1" x14ac:dyDescent="0.2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75" customHeight="1" x14ac:dyDescent="0.2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75" customHeight="1" x14ac:dyDescent="0.2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75" customHeight="1" x14ac:dyDescent="0.2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75" customHeight="1" x14ac:dyDescent="0.2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75" customHeight="1" x14ac:dyDescent="0.2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75" customHeight="1" x14ac:dyDescent="0.2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75" customHeight="1" x14ac:dyDescent="0.2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75" customHeight="1" x14ac:dyDescent="0.2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75" customHeight="1" x14ac:dyDescent="0.2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75" customHeight="1" x14ac:dyDescent="0.2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75" customHeight="1" x14ac:dyDescent="0.2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75" customHeight="1" x14ac:dyDescent="0.2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75" customHeight="1" x14ac:dyDescent="0.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75" customHeight="1" x14ac:dyDescent="0.2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75" customHeight="1" x14ac:dyDescent="0.2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75" customHeight="1" x14ac:dyDescent="0.2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75" customHeight="1" x14ac:dyDescent="0.2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75" customHeight="1" x14ac:dyDescent="0.2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75" customHeight="1" x14ac:dyDescent="0.2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75" customHeight="1" x14ac:dyDescent="0.2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75" customHeight="1" x14ac:dyDescent="0.2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75" customHeight="1" x14ac:dyDescent="0.2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75" customHeight="1" x14ac:dyDescent="0.2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75" customHeight="1" x14ac:dyDescent="0.2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75" customHeight="1" x14ac:dyDescent="0.2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75" customHeight="1" x14ac:dyDescent="0.2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75" customHeight="1" x14ac:dyDescent="0.2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75" customHeight="1" x14ac:dyDescent="0.2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75" customHeight="1" x14ac:dyDescent="0.2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75" customHeight="1" x14ac:dyDescent="0.2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75" customHeight="1" x14ac:dyDescent="0.2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75" customHeight="1" x14ac:dyDescent="0.2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75" customHeight="1" x14ac:dyDescent="0.2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75" customHeight="1" x14ac:dyDescent="0.2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75" customHeight="1" x14ac:dyDescent="0.2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75" customHeight="1" x14ac:dyDescent="0.2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75" customHeight="1" x14ac:dyDescent="0.2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75" customHeight="1" x14ac:dyDescent="0.2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75" customHeight="1" x14ac:dyDescent="0.2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75" customHeight="1" x14ac:dyDescent="0.2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75" customHeight="1" x14ac:dyDescent="0.2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75" customHeight="1" x14ac:dyDescent="0.2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75" customHeight="1" x14ac:dyDescent="0.2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75" customHeight="1" x14ac:dyDescent="0.2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75" customHeight="1" x14ac:dyDescent="0.2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75" customHeight="1" x14ac:dyDescent="0.2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75" customHeight="1" x14ac:dyDescent="0.2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75" customHeight="1" x14ac:dyDescent="0.2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75" customHeight="1" x14ac:dyDescent="0.2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75" customHeight="1" x14ac:dyDescent="0.2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75" customHeight="1" x14ac:dyDescent="0.2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75" customHeight="1" x14ac:dyDescent="0.2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75" customHeight="1" x14ac:dyDescent="0.2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75" customHeight="1" x14ac:dyDescent="0.2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75" customHeight="1" x14ac:dyDescent="0.2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75" customHeight="1" x14ac:dyDescent="0.2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75" customHeight="1" x14ac:dyDescent="0.2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75" customHeight="1" x14ac:dyDescent="0.2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75" customHeight="1" x14ac:dyDescent="0.2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75" customHeight="1" x14ac:dyDescent="0.2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75" customHeigh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75" customHeigh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75" customHeight="1" x14ac:dyDescent="0.2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75" customHeight="1" x14ac:dyDescent="0.2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75" customHeight="1" x14ac:dyDescent="0.2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75" customHeight="1" x14ac:dyDescent="0.2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75" customHeight="1" x14ac:dyDescent="0.2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75" customHeight="1" x14ac:dyDescent="0.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75" customHeight="1" x14ac:dyDescent="0.2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75" customHeight="1" x14ac:dyDescent="0.2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75" customHeight="1" x14ac:dyDescent="0.2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75" customHeight="1" x14ac:dyDescent="0.2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75" customHeight="1" x14ac:dyDescent="0.2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75" customHeight="1" x14ac:dyDescent="0.2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75" customHeight="1" x14ac:dyDescent="0.2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75" customHeight="1" x14ac:dyDescent="0.2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75" customHeight="1" x14ac:dyDescent="0.2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75" customHeight="1" x14ac:dyDescent="0.2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75" customHeight="1" x14ac:dyDescent="0.2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75" customHeight="1" x14ac:dyDescent="0.2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75" customHeight="1" x14ac:dyDescent="0.2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75" customHeight="1" x14ac:dyDescent="0.2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75" customHeight="1" x14ac:dyDescent="0.2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75" customHeight="1" x14ac:dyDescent="0.2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75" customHeight="1" x14ac:dyDescent="0.2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75" customHeight="1" x14ac:dyDescent="0.2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75" customHeight="1" x14ac:dyDescent="0.2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75" customHeight="1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75" customHeight="1" x14ac:dyDescent="0.2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75" customHeight="1" x14ac:dyDescent="0.2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75" customHeight="1" x14ac:dyDescent="0.2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75" customHeight="1" x14ac:dyDescent="0.2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75" customHeight="1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75" customHeight="1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75" customHeight="1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75" customHeight="1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75" customHeight="1" x14ac:dyDescent="0.2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75" customHeight="1" x14ac:dyDescent="0.2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75" customHeight="1" x14ac:dyDescent="0.2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75" customHeight="1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75" customHeigh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75" customHeigh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75" customHeigh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75" customHeigh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75" customHeigh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75" customHeight="1" x14ac:dyDescent="0.2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75" customHeight="1" x14ac:dyDescent="0.2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75" customHeight="1" x14ac:dyDescent="0.2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75" customHeigh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75" customHeigh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75" customHeigh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75" customHeigh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75" customHeigh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75" customHeigh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75" customHeight="1" x14ac:dyDescent="0.2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75" customHeight="1" x14ac:dyDescent="0.2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75" customHeight="1" x14ac:dyDescent="0.2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75" customHeight="1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75" customHeight="1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75" customHeight="1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75" customHeight="1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75" customHeight="1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75" customHeigh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75" customHeight="1" x14ac:dyDescent="0.2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75" customHeight="1" x14ac:dyDescent="0.2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75" customHeight="1" x14ac:dyDescent="0.2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75" customHeight="1" x14ac:dyDescent="0.2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75" customHeight="1" x14ac:dyDescent="0.2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75" customHeight="1" x14ac:dyDescent="0.2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75" customHeight="1" x14ac:dyDescent="0.2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75" customHeight="1" x14ac:dyDescent="0.2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75" customHeight="1" x14ac:dyDescent="0.2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75" customHeight="1" x14ac:dyDescent="0.2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75" customHeight="1" x14ac:dyDescent="0.2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75" customHeight="1" x14ac:dyDescent="0.2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75" customHeight="1" x14ac:dyDescent="0.2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75" customHeight="1" x14ac:dyDescent="0.2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75" customHeight="1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75" customHeight="1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75" customHeight="1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75" customHeight="1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75" customHeight="1" x14ac:dyDescent="0.2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75" customHeight="1" x14ac:dyDescent="0.2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75" customHeight="1" x14ac:dyDescent="0.2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75" customHeigh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75" customHeigh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75" customHeigh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75" customHeight="1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75" customHeight="1" x14ac:dyDescent="0.2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75" customHeight="1" x14ac:dyDescent="0.2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75" customHeight="1" x14ac:dyDescent="0.2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75" customHeight="1" x14ac:dyDescent="0.2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75" customHeight="1" x14ac:dyDescent="0.2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75" customHeight="1" x14ac:dyDescent="0.2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75" customHeigh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75" customHeight="1" x14ac:dyDescent="0.2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75" customHeight="1" x14ac:dyDescent="0.2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75" customHeight="1" x14ac:dyDescent="0.2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75" customHeight="1" x14ac:dyDescent="0.2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75" customHeigh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75" customHeigh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75" customHeight="1" x14ac:dyDescent="0.2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75" customHeight="1" x14ac:dyDescent="0.2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75" customHeigh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75" customHeigh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75" customHeight="1" x14ac:dyDescent="0.2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75" customHeight="1" x14ac:dyDescent="0.2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75" customHeight="1" x14ac:dyDescent="0.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75" customHeigh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75" customHeigh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75" customHeigh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75" customHeight="1" x14ac:dyDescent="0.2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75" customHeight="1" x14ac:dyDescent="0.2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75" customHeight="1" x14ac:dyDescent="0.2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75" customHeight="1" x14ac:dyDescent="0.2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75" customHeight="1" x14ac:dyDescent="0.2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75" customHeight="1" x14ac:dyDescent="0.2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75" customHeight="1" x14ac:dyDescent="0.2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75" customHeight="1" x14ac:dyDescent="0.2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75" customHeight="1" x14ac:dyDescent="0.2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75" customHeight="1" x14ac:dyDescent="0.2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75" customHeight="1" x14ac:dyDescent="0.2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75" customHeight="1" x14ac:dyDescent="0.2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75" customHeight="1" x14ac:dyDescent="0.2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75" customHeight="1" x14ac:dyDescent="0.2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75" customHeight="1" x14ac:dyDescent="0.2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75" customHeight="1" x14ac:dyDescent="0.2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75" customHeight="1" x14ac:dyDescent="0.2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75" customHeight="1" x14ac:dyDescent="0.2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75" customHeight="1" x14ac:dyDescent="0.2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75" customHeight="1" x14ac:dyDescent="0.2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75" customHeight="1" x14ac:dyDescent="0.2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75" customHeight="1" x14ac:dyDescent="0.2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75" customHeight="1" x14ac:dyDescent="0.2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75" customHeight="1" x14ac:dyDescent="0.2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75" customHeight="1" x14ac:dyDescent="0.2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75" customHeight="1" x14ac:dyDescent="0.2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75" customHeight="1" x14ac:dyDescent="0.2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75" customHeight="1" x14ac:dyDescent="0.2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75" customHeight="1" x14ac:dyDescent="0.2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75" customHeight="1" x14ac:dyDescent="0.2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75" customHeight="1" x14ac:dyDescent="0.2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75" customHeight="1" x14ac:dyDescent="0.2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75" customHeight="1" x14ac:dyDescent="0.2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75" customHeight="1" x14ac:dyDescent="0.2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75" customHeight="1" x14ac:dyDescent="0.2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75" customHeight="1" x14ac:dyDescent="0.2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75" customHeight="1" x14ac:dyDescent="0.2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75" customHeight="1" x14ac:dyDescent="0.2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75" customHeight="1" x14ac:dyDescent="0.2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75" customHeight="1" x14ac:dyDescent="0.2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75" customHeight="1" x14ac:dyDescent="0.2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75" customHeight="1" x14ac:dyDescent="0.2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75" customHeight="1" x14ac:dyDescent="0.2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75" customHeight="1" x14ac:dyDescent="0.2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75" customHeight="1" x14ac:dyDescent="0.2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75" customHeight="1" x14ac:dyDescent="0.2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75" customHeight="1" x14ac:dyDescent="0.2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75" customHeight="1" x14ac:dyDescent="0.2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75" customHeight="1" x14ac:dyDescent="0.2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75" customHeight="1" x14ac:dyDescent="0.2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75" customHeight="1" x14ac:dyDescent="0.2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75" customHeight="1" x14ac:dyDescent="0.2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75" customHeight="1" x14ac:dyDescent="0.2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75" customHeight="1" x14ac:dyDescent="0.2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75" customHeight="1" x14ac:dyDescent="0.2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75" customHeight="1" x14ac:dyDescent="0.2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75" customHeight="1" x14ac:dyDescent="0.2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75" customHeight="1" x14ac:dyDescent="0.2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75" customHeight="1" x14ac:dyDescent="0.2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75" customHeight="1" x14ac:dyDescent="0.2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75" customHeight="1" x14ac:dyDescent="0.2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75" customHeight="1" x14ac:dyDescent="0.2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75" customHeight="1" x14ac:dyDescent="0.2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75" customHeight="1" x14ac:dyDescent="0.2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75" customHeight="1" x14ac:dyDescent="0.2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75" customHeight="1" x14ac:dyDescent="0.2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75" customHeight="1" x14ac:dyDescent="0.2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75" customHeight="1" x14ac:dyDescent="0.2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75" customHeight="1" x14ac:dyDescent="0.2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75" customHeight="1" x14ac:dyDescent="0.2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75" customHeight="1" x14ac:dyDescent="0.2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75" customHeight="1" x14ac:dyDescent="0.2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75" customHeight="1" x14ac:dyDescent="0.2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75" customHeight="1" x14ac:dyDescent="0.2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75" customHeight="1" x14ac:dyDescent="0.2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75" customHeight="1" x14ac:dyDescent="0.2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75" customHeight="1" x14ac:dyDescent="0.2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75" customHeight="1" x14ac:dyDescent="0.2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75" customHeight="1" x14ac:dyDescent="0.2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75" customHeight="1" x14ac:dyDescent="0.2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75" customHeight="1" x14ac:dyDescent="0.2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75" customHeight="1" x14ac:dyDescent="0.2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75" customHeight="1" x14ac:dyDescent="0.2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75" customHeight="1" x14ac:dyDescent="0.2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75" customHeight="1" x14ac:dyDescent="0.2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75" customHeight="1" x14ac:dyDescent="0.2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75" customHeight="1" x14ac:dyDescent="0.2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75" customHeight="1" x14ac:dyDescent="0.2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75" customHeight="1" x14ac:dyDescent="0.2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75" customHeight="1" x14ac:dyDescent="0.2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75" customHeight="1" x14ac:dyDescent="0.2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75" customHeight="1" x14ac:dyDescent="0.2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75" customHeight="1" x14ac:dyDescent="0.2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75" customHeight="1" x14ac:dyDescent="0.2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75" customHeight="1" x14ac:dyDescent="0.2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75" customHeight="1" x14ac:dyDescent="0.2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75" customHeight="1" x14ac:dyDescent="0.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75" customHeight="1" x14ac:dyDescent="0.2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75" customHeight="1" x14ac:dyDescent="0.2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75" customHeight="1" x14ac:dyDescent="0.2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75" customHeight="1" x14ac:dyDescent="0.2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75" customHeight="1" x14ac:dyDescent="0.2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75" customHeight="1" x14ac:dyDescent="0.2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75" customHeight="1" x14ac:dyDescent="0.2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75" customHeight="1" x14ac:dyDescent="0.2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75" customHeight="1" x14ac:dyDescent="0.2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75" customHeight="1" x14ac:dyDescent="0.2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75" customHeight="1" x14ac:dyDescent="0.2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75" customHeight="1" x14ac:dyDescent="0.2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75" customHeight="1" x14ac:dyDescent="0.2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75" customHeight="1" x14ac:dyDescent="0.2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75" customHeight="1" x14ac:dyDescent="0.2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75" customHeight="1" x14ac:dyDescent="0.2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75" customHeight="1" x14ac:dyDescent="0.2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75" customHeight="1" x14ac:dyDescent="0.2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75" customHeight="1" x14ac:dyDescent="0.2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75" customHeight="1" x14ac:dyDescent="0.2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75" customHeight="1" x14ac:dyDescent="0.2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75" customHeight="1" x14ac:dyDescent="0.2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75" customHeight="1" x14ac:dyDescent="0.2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75" customHeight="1" x14ac:dyDescent="0.2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75" customHeight="1" x14ac:dyDescent="0.2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75" customHeight="1" x14ac:dyDescent="0.2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75" customHeight="1" x14ac:dyDescent="0.2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75" customHeight="1" x14ac:dyDescent="0.2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75" customHeight="1" x14ac:dyDescent="0.2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75" customHeight="1" x14ac:dyDescent="0.2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75" customHeight="1" x14ac:dyDescent="0.2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75" customHeight="1" x14ac:dyDescent="0.2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75" customHeight="1" x14ac:dyDescent="0.2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75" customHeight="1" x14ac:dyDescent="0.2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75" customHeight="1" x14ac:dyDescent="0.2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75" customHeight="1" x14ac:dyDescent="0.2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75" customHeight="1" x14ac:dyDescent="0.2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75" customHeight="1" x14ac:dyDescent="0.2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75" customHeight="1" x14ac:dyDescent="0.2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75" customHeight="1" x14ac:dyDescent="0.2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75" customHeight="1" x14ac:dyDescent="0.2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75" customHeight="1" x14ac:dyDescent="0.2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75" customHeight="1" x14ac:dyDescent="0.2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75" customHeight="1" x14ac:dyDescent="0.2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75" customHeight="1" x14ac:dyDescent="0.2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75" customHeight="1" x14ac:dyDescent="0.2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75" customHeight="1" x14ac:dyDescent="0.2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75" customHeight="1" x14ac:dyDescent="0.2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75" customHeight="1" x14ac:dyDescent="0.2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75" customHeight="1" x14ac:dyDescent="0.2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75" customHeight="1" x14ac:dyDescent="0.2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75" customHeight="1" x14ac:dyDescent="0.2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75" customHeight="1" x14ac:dyDescent="0.2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75" customHeight="1" x14ac:dyDescent="0.2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75" customHeight="1" x14ac:dyDescent="0.2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75" customHeight="1" x14ac:dyDescent="0.2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75" customHeight="1" x14ac:dyDescent="0.2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75" customHeight="1" x14ac:dyDescent="0.2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75" customHeight="1" x14ac:dyDescent="0.2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75" customHeight="1" x14ac:dyDescent="0.2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75" customHeight="1" x14ac:dyDescent="0.2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75" customHeight="1" x14ac:dyDescent="0.2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75" customHeight="1" x14ac:dyDescent="0.2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75" customHeight="1" x14ac:dyDescent="0.2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75" customHeight="1" x14ac:dyDescent="0.2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75" customHeight="1" x14ac:dyDescent="0.2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75" customHeight="1" x14ac:dyDescent="0.2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75" customHeight="1" x14ac:dyDescent="0.2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75" customHeight="1" x14ac:dyDescent="0.2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75" customHeight="1" x14ac:dyDescent="0.2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75" customHeight="1" x14ac:dyDescent="0.2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75" customHeight="1" x14ac:dyDescent="0.2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75" customHeight="1" x14ac:dyDescent="0.2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75" customHeight="1" x14ac:dyDescent="0.2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75" customHeight="1" x14ac:dyDescent="0.2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75" customHeight="1" x14ac:dyDescent="0.2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75" customHeight="1" x14ac:dyDescent="0.2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75" customHeight="1" x14ac:dyDescent="0.2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75" customHeight="1" x14ac:dyDescent="0.2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75" customHeight="1" x14ac:dyDescent="0.2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75" customHeight="1" x14ac:dyDescent="0.2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75" customHeight="1" x14ac:dyDescent="0.2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75" customHeight="1" x14ac:dyDescent="0.2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75" customHeight="1" x14ac:dyDescent="0.2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75" customHeight="1" x14ac:dyDescent="0.2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75" customHeight="1" x14ac:dyDescent="0.2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75" customHeight="1" x14ac:dyDescent="0.2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75" customHeight="1" x14ac:dyDescent="0.2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75" customHeight="1" x14ac:dyDescent="0.2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75" customHeight="1" x14ac:dyDescent="0.2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75" customHeight="1" x14ac:dyDescent="0.2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75" customHeight="1" x14ac:dyDescent="0.2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75" customHeight="1" x14ac:dyDescent="0.2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75" customHeight="1" x14ac:dyDescent="0.2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75" customHeight="1" x14ac:dyDescent="0.2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75" customHeight="1" x14ac:dyDescent="0.2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75" customHeight="1" x14ac:dyDescent="0.2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75" customHeight="1" x14ac:dyDescent="0.2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75" customHeight="1" x14ac:dyDescent="0.2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75" customHeight="1" x14ac:dyDescent="0.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75" customHeight="1" x14ac:dyDescent="0.2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75" customHeight="1" x14ac:dyDescent="0.2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75" customHeight="1" x14ac:dyDescent="0.2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75" customHeight="1" x14ac:dyDescent="0.2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75" customHeight="1" x14ac:dyDescent="0.2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75" customHeight="1" x14ac:dyDescent="0.2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75" customHeight="1" x14ac:dyDescent="0.2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75" customHeight="1" x14ac:dyDescent="0.2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75" customHeight="1" x14ac:dyDescent="0.2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75" customHeight="1" x14ac:dyDescent="0.2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75" customHeight="1" x14ac:dyDescent="0.2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75" customHeight="1" x14ac:dyDescent="0.2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75" customHeight="1" x14ac:dyDescent="0.2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75" customHeight="1" x14ac:dyDescent="0.2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75" customHeight="1" x14ac:dyDescent="0.2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75" customHeight="1" x14ac:dyDescent="0.2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75" customHeight="1" x14ac:dyDescent="0.2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75" customHeight="1" x14ac:dyDescent="0.2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75" customHeight="1" x14ac:dyDescent="0.2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75" customHeight="1" x14ac:dyDescent="0.2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75" customHeight="1" x14ac:dyDescent="0.2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75" customHeight="1" x14ac:dyDescent="0.2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75" customHeight="1" x14ac:dyDescent="0.2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75" customHeight="1" x14ac:dyDescent="0.2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75" customHeight="1" x14ac:dyDescent="0.2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75" customHeight="1" x14ac:dyDescent="0.2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75" customHeight="1" x14ac:dyDescent="0.2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75" customHeight="1" x14ac:dyDescent="0.2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75" customHeight="1" x14ac:dyDescent="0.2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75" customHeight="1" x14ac:dyDescent="0.2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75" customHeight="1" x14ac:dyDescent="0.2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75" customHeight="1" x14ac:dyDescent="0.2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75" customHeight="1" x14ac:dyDescent="0.2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75" customHeight="1" x14ac:dyDescent="0.2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75" customHeight="1" x14ac:dyDescent="0.2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75" customHeight="1" x14ac:dyDescent="0.2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75" customHeight="1" x14ac:dyDescent="0.2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75" customHeight="1" x14ac:dyDescent="0.2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75" customHeight="1" x14ac:dyDescent="0.2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75" customHeight="1" x14ac:dyDescent="0.2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75" customHeight="1" x14ac:dyDescent="0.2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75" customHeight="1" x14ac:dyDescent="0.2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75" customHeight="1" x14ac:dyDescent="0.2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75" customHeight="1" x14ac:dyDescent="0.2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75" customHeight="1" x14ac:dyDescent="0.2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75" customHeight="1" x14ac:dyDescent="0.2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75" customHeight="1" x14ac:dyDescent="0.2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75" customHeight="1" x14ac:dyDescent="0.2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75" customHeight="1" x14ac:dyDescent="0.2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75" customHeight="1" x14ac:dyDescent="0.2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75" customHeight="1" x14ac:dyDescent="0.2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75" customHeight="1" x14ac:dyDescent="0.2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75" customHeight="1" x14ac:dyDescent="0.2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75" customHeight="1" x14ac:dyDescent="0.2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75" customHeight="1" x14ac:dyDescent="0.2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75" customHeight="1" x14ac:dyDescent="0.2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75" customHeight="1" x14ac:dyDescent="0.2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75" customHeight="1" x14ac:dyDescent="0.2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75" customHeight="1" x14ac:dyDescent="0.2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75" customHeight="1" x14ac:dyDescent="0.2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75" customHeight="1" x14ac:dyDescent="0.2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75" customHeight="1" x14ac:dyDescent="0.2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75" customHeight="1" x14ac:dyDescent="0.2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75" customHeight="1" x14ac:dyDescent="0.2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75" customHeight="1" x14ac:dyDescent="0.2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75" customHeight="1" x14ac:dyDescent="0.2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75" customHeight="1" x14ac:dyDescent="0.2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75" customHeight="1" x14ac:dyDescent="0.2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75" customHeight="1" x14ac:dyDescent="0.2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75" customHeight="1" x14ac:dyDescent="0.2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75" customHeight="1" x14ac:dyDescent="0.2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75" customHeight="1" x14ac:dyDescent="0.2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75" customHeight="1" x14ac:dyDescent="0.2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75" customHeight="1" x14ac:dyDescent="0.2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75" customHeight="1" x14ac:dyDescent="0.2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75" customHeight="1" x14ac:dyDescent="0.2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75" customHeight="1" x14ac:dyDescent="0.2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75" customHeight="1" x14ac:dyDescent="0.2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75" customHeight="1" x14ac:dyDescent="0.2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75" customHeight="1" x14ac:dyDescent="0.2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75" customHeight="1" x14ac:dyDescent="0.2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75" customHeight="1" x14ac:dyDescent="0.2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75" customHeight="1" x14ac:dyDescent="0.2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75" customHeight="1" x14ac:dyDescent="0.2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75" customHeight="1" x14ac:dyDescent="0.2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75" customHeight="1" x14ac:dyDescent="0.2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75" customHeight="1" x14ac:dyDescent="0.2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75" customHeight="1" x14ac:dyDescent="0.2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75" customHeight="1" x14ac:dyDescent="0.2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75" customHeight="1" x14ac:dyDescent="0.2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75" customHeight="1" x14ac:dyDescent="0.2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75" customHeight="1" x14ac:dyDescent="0.2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75" customHeight="1" x14ac:dyDescent="0.2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75" customHeight="1" x14ac:dyDescent="0.2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75" customHeight="1" x14ac:dyDescent="0.2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75" customHeight="1" x14ac:dyDescent="0.2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75" customHeight="1" x14ac:dyDescent="0.2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75" customHeight="1" x14ac:dyDescent="0.2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75" customHeight="1" x14ac:dyDescent="0.2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75" customHeight="1" x14ac:dyDescent="0.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75" customHeight="1" x14ac:dyDescent="0.2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75" customHeight="1" x14ac:dyDescent="0.2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75" customHeight="1" x14ac:dyDescent="0.2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75" customHeight="1" x14ac:dyDescent="0.2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75" customHeight="1" x14ac:dyDescent="0.2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75" customHeight="1" x14ac:dyDescent="0.2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75" customHeight="1" x14ac:dyDescent="0.2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75" customHeight="1" x14ac:dyDescent="0.2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75" customHeight="1" x14ac:dyDescent="0.2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75" customHeight="1" x14ac:dyDescent="0.2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75" customHeight="1" x14ac:dyDescent="0.2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75" customHeight="1" x14ac:dyDescent="0.2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75" customHeight="1" x14ac:dyDescent="0.2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75" customHeight="1" x14ac:dyDescent="0.2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75" customHeight="1" x14ac:dyDescent="0.2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75" customHeight="1" x14ac:dyDescent="0.2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75" customHeight="1" x14ac:dyDescent="0.2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75" customHeight="1" x14ac:dyDescent="0.2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75" customHeight="1" x14ac:dyDescent="0.2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75" customHeight="1" x14ac:dyDescent="0.2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75" customHeight="1" x14ac:dyDescent="0.2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75" customHeight="1" x14ac:dyDescent="0.2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75" customHeight="1" x14ac:dyDescent="0.2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75" customHeight="1" x14ac:dyDescent="0.2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75" customHeight="1" x14ac:dyDescent="0.2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75" customHeight="1" x14ac:dyDescent="0.2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75" customHeight="1" x14ac:dyDescent="0.2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75" customHeight="1" x14ac:dyDescent="0.2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75" customHeight="1" x14ac:dyDescent="0.2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75" customHeight="1" x14ac:dyDescent="0.2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75" customHeight="1" x14ac:dyDescent="0.2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75" customHeight="1" x14ac:dyDescent="0.2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75" customHeight="1" x14ac:dyDescent="0.2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75" customHeight="1" x14ac:dyDescent="0.2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75" customHeight="1" x14ac:dyDescent="0.2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75" customHeight="1" x14ac:dyDescent="0.2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75" customHeight="1" x14ac:dyDescent="0.2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75" customHeight="1" x14ac:dyDescent="0.2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75" customHeight="1" x14ac:dyDescent="0.2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75" customHeight="1" x14ac:dyDescent="0.2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75" customHeight="1" x14ac:dyDescent="0.2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75" customHeight="1" x14ac:dyDescent="0.2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75" customHeight="1" x14ac:dyDescent="0.2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75" customHeight="1" x14ac:dyDescent="0.2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75" customHeight="1" x14ac:dyDescent="0.2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75" customHeight="1" x14ac:dyDescent="0.2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75" customHeight="1" x14ac:dyDescent="0.2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75" customHeight="1" x14ac:dyDescent="0.2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75" customHeight="1" x14ac:dyDescent="0.2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75" customHeight="1" x14ac:dyDescent="0.2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75" customHeight="1" x14ac:dyDescent="0.2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75" customHeight="1" x14ac:dyDescent="0.2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75" customHeight="1" x14ac:dyDescent="0.2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75" customHeight="1" x14ac:dyDescent="0.2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75" customHeight="1" x14ac:dyDescent="0.2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75" customHeight="1" x14ac:dyDescent="0.2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75" customHeight="1" x14ac:dyDescent="0.2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75" customHeight="1" x14ac:dyDescent="0.2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75" customHeight="1" x14ac:dyDescent="0.2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75" customHeight="1" x14ac:dyDescent="0.2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75" customHeight="1" x14ac:dyDescent="0.2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75" customHeight="1" x14ac:dyDescent="0.2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75" customHeight="1" x14ac:dyDescent="0.2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75" customHeight="1" x14ac:dyDescent="0.2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75" customHeight="1" x14ac:dyDescent="0.2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75" customHeight="1" x14ac:dyDescent="0.2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75" customHeight="1" x14ac:dyDescent="0.2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75" customHeight="1" x14ac:dyDescent="0.2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75" customHeight="1" x14ac:dyDescent="0.2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75" customHeight="1" x14ac:dyDescent="0.2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75" customHeight="1" x14ac:dyDescent="0.2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75" customHeight="1" x14ac:dyDescent="0.2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75" customHeight="1" x14ac:dyDescent="0.2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75" customHeight="1" x14ac:dyDescent="0.2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75" customHeight="1" x14ac:dyDescent="0.2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75" customHeight="1" x14ac:dyDescent="0.2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75" customHeight="1" x14ac:dyDescent="0.2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75" customHeight="1" x14ac:dyDescent="0.2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75" customHeight="1" x14ac:dyDescent="0.2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75" customHeight="1" x14ac:dyDescent="0.2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75" customHeight="1" x14ac:dyDescent="0.2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75" customHeight="1" x14ac:dyDescent="0.2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75" customHeight="1" x14ac:dyDescent="0.2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75" customHeight="1" x14ac:dyDescent="0.2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75" customHeight="1" x14ac:dyDescent="0.2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75" customHeight="1" x14ac:dyDescent="0.2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75" customHeight="1" x14ac:dyDescent="0.2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75" customHeight="1" x14ac:dyDescent="0.2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75" customHeight="1" x14ac:dyDescent="0.2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75" customHeight="1" x14ac:dyDescent="0.2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75" customHeight="1" x14ac:dyDescent="0.2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75" customHeight="1" x14ac:dyDescent="0.2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75" customHeight="1" x14ac:dyDescent="0.2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75" customHeight="1" x14ac:dyDescent="0.2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75" customHeight="1" x14ac:dyDescent="0.2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75" customHeight="1" x14ac:dyDescent="0.2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75" customHeight="1" x14ac:dyDescent="0.2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75" customHeight="1" x14ac:dyDescent="0.2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75" customHeight="1" x14ac:dyDescent="0.2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75" customHeight="1" x14ac:dyDescent="0.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75" customHeight="1" x14ac:dyDescent="0.2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75" customHeight="1" x14ac:dyDescent="0.2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75" customHeight="1" x14ac:dyDescent="0.2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75" customHeight="1" x14ac:dyDescent="0.2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75" customHeight="1" x14ac:dyDescent="0.2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75" customHeight="1" x14ac:dyDescent="0.2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75" customHeight="1" x14ac:dyDescent="0.2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75" customHeight="1" x14ac:dyDescent="0.2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75" customHeight="1" x14ac:dyDescent="0.2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75" customHeight="1" x14ac:dyDescent="0.2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75" customHeight="1" x14ac:dyDescent="0.2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75" customHeight="1" x14ac:dyDescent="0.2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75" customHeight="1" x14ac:dyDescent="0.2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75" customHeight="1" x14ac:dyDescent="0.2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75" customHeight="1" x14ac:dyDescent="0.2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75" customHeight="1" x14ac:dyDescent="0.2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75" customHeight="1" x14ac:dyDescent="0.2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75" customHeight="1" x14ac:dyDescent="0.2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75" customHeight="1" x14ac:dyDescent="0.2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75" customHeight="1" x14ac:dyDescent="0.2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75" customHeight="1" x14ac:dyDescent="0.2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75" customHeight="1" x14ac:dyDescent="0.2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75" customHeight="1" x14ac:dyDescent="0.2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75" customHeight="1" x14ac:dyDescent="0.2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75" customHeight="1" x14ac:dyDescent="0.2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75" customHeight="1" x14ac:dyDescent="0.2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75" customHeight="1" x14ac:dyDescent="0.2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75" customHeight="1" x14ac:dyDescent="0.2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75" customHeight="1" x14ac:dyDescent="0.2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75" customHeight="1" x14ac:dyDescent="0.2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75" customHeight="1" x14ac:dyDescent="0.2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75" customHeight="1" x14ac:dyDescent="0.2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75" customHeight="1" x14ac:dyDescent="0.2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75" customHeight="1" x14ac:dyDescent="0.2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75" customHeight="1" x14ac:dyDescent="0.2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75" customHeight="1" x14ac:dyDescent="0.2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75" customHeight="1" x14ac:dyDescent="0.2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75" customHeight="1" x14ac:dyDescent="0.2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75" customHeight="1" x14ac:dyDescent="0.2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75" customHeight="1" x14ac:dyDescent="0.2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75" customHeight="1" x14ac:dyDescent="0.2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75" customHeight="1" x14ac:dyDescent="0.2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75" customHeight="1" x14ac:dyDescent="0.2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75" customHeight="1" x14ac:dyDescent="0.2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75" customHeight="1" x14ac:dyDescent="0.2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75" customHeight="1" x14ac:dyDescent="0.2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75" customHeight="1" x14ac:dyDescent="0.2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75" customHeight="1" x14ac:dyDescent="0.2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75" customHeight="1" x14ac:dyDescent="0.2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75" customHeight="1" x14ac:dyDescent="0.2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75" customHeight="1" x14ac:dyDescent="0.2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75" customHeight="1" x14ac:dyDescent="0.2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75" customHeight="1" x14ac:dyDescent="0.2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75" customHeight="1" x14ac:dyDescent="0.2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75" customHeight="1" x14ac:dyDescent="0.2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75" customHeight="1" x14ac:dyDescent="0.2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75" customHeight="1" x14ac:dyDescent="0.2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75" customHeight="1" x14ac:dyDescent="0.2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75" customHeight="1" x14ac:dyDescent="0.2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75" customHeight="1" x14ac:dyDescent="0.2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75" customHeight="1" x14ac:dyDescent="0.2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75" customHeight="1" x14ac:dyDescent="0.2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75" customHeight="1" x14ac:dyDescent="0.2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75" customHeight="1" x14ac:dyDescent="0.2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75" customHeight="1" x14ac:dyDescent="0.2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75" customHeight="1" x14ac:dyDescent="0.2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75" customHeight="1" x14ac:dyDescent="0.2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75" customHeight="1" x14ac:dyDescent="0.2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75" customHeight="1" x14ac:dyDescent="0.2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75" customHeight="1" x14ac:dyDescent="0.2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75" customHeight="1" x14ac:dyDescent="0.2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75" customHeight="1" x14ac:dyDescent="0.2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75" customHeight="1" x14ac:dyDescent="0.2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75" customHeight="1" x14ac:dyDescent="0.2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75" customHeight="1" x14ac:dyDescent="0.2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75" customHeight="1" x14ac:dyDescent="0.2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75" customHeight="1" x14ac:dyDescent="0.2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75" customHeight="1" x14ac:dyDescent="0.2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75" customHeight="1" x14ac:dyDescent="0.2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75" customHeight="1" x14ac:dyDescent="0.2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75" customHeight="1" x14ac:dyDescent="0.2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75" customHeight="1" x14ac:dyDescent="0.2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75" customHeight="1" x14ac:dyDescent="0.2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75" customHeight="1" x14ac:dyDescent="0.2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75" customHeight="1" x14ac:dyDescent="0.2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75" customHeight="1" x14ac:dyDescent="0.2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75" customHeight="1" x14ac:dyDescent="0.2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75" customHeight="1" x14ac:dyDescent="0.2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75" customHeight="1" x14ac:dyDescent="0.2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75" customHeight="1" x14ac:dyDescent="0.2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75" customHeight="1" x14ac:dyDescent="0.2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75" customHeight="1" x14ac:dyDescent="0.2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75" customHeight="1" x14ac:dyDescent="0.2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75" customHeight="1" x14ac:dyDescent="0.2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75" customHeight="1" x14ac:dyDescent="0.2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75" customHeight="1" x14ac:dyDescent="0.2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75" customHeight="1" x14ac:dyDescent="0.2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75" customHeight="1" x14ac:dyDescent="0.2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75" customHeight="1" x14ac:dyDescent="0.2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75" customHeight="1" x14ac:dyDescent="0.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75" customHeight="1" x14ac:dyDescent="0.2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75" customHeight="1" x14ac:dyDescent="0.2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75" customHeight="1" x14ac:dyDescent="0.2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75" customHeight="1" x14ac:dyDescent="0.2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75" customHeight="1" x14ac:dyDescent="0.2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75" customHeight="1" x14ac:dyDescent="0.2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75" customHeight="1" x14ac:dyDescent="0.2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75" customHeight="1" x14ac:dyDescent="0.2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75" customHeight="1" x14ac:dyDescent="0.2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75" customHeight="1" x14ac:dyDescent="0.2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75" customHeight="1" x14ac:dyDescent="0.2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75" customHeight="1" x14ac:dyDescent="0.2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75" customHeight="1" x14ac:dyDescent="0.2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75" customHeight="1" x14ac:dyDescent="0.2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75" customHeight="1" x14ac:dyDescent="0.2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75" customHeight="1" x14ac:dyDescent="0.2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75" customHeight="1" x14ac:dyDescent="0.2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75" customHeight="1" x14ac:dyDescent="0.2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75" customHeight="1" x14ac:dyDescent="0.2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75" customHeight="1" x14ac:dyDescent="0.2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75" customHeight="1" x14ac:dyDescent="0.2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75" customHeight="1" x14ac:dyDescent="0.2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75" customHeight="1" x14ac:dyDescent="0.2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75" customHeight="1" x14ac:dyDescent="0.2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75" customHeight="1" x14ac:dyDescent="0.2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75" customHeight="1" x14ac:dyDescent="0.2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75" customHeight="1" x14ac:dyDescent="0.2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75" customHeight="1" x14ac:dyDescent="0.2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75" customHeight="1" x14ac:dyDescent="0.2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75" customHeight="1" x14ac:dyDescent="0.2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75" customHeight="1" x14ac:dyDescent="0.2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75" customHeight="1" x14ac:dyDescent="0.2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75" customHeight="1" x14ac:dyDescent="0.2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75" customHeight="1" x14ac:dyDescent="0.2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75" customHeight="1" x14ac:dyDescent="0.2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75" customHeight="1" x14ac:dyDescent="0.2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75" customHeight="1" x14ac:dyDescent="0.2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75" customHeight="1" x14ac:dyDescent="0.2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75" customHeight="1" x14ac:dyDescent="0.2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75" customHeight="1" x14ac:dyDescent="0.2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75" customHeight="1" x14ac:dyDescent="0.2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75" customHeight="1" x14ac:dyDescent="0.2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75" customHeight="1" x14ac:dyDescent="0.2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75" customHeight="1" x14ac:dyDescent="0.2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75" customHeight="1" x14ac:dyDescent="0.2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75" customHeight="1" x14ac:dyDescent="0.2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75" customHeight="1" x14ac:dyDescent="0.2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75" customHeight="1" x14ac:dyDescent="0.2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75" customHeight="1" x14ac:dyDescent="0.2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75" customHeight="1" x14ac:dyDescent="0.2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75" customHeight="1" x14ac:dyDescent="0.2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75" customHeight="1" x14ac:dyDescent="0.2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75" customHeight="1" x14ac:dyDescent="0.2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75" customHeight="1" x14ac:dyDescent="0.2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5.75" customHeight="1" x14ac:dyDescent="0.2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5.75" customHeight="1" x14ac:dyDescent="0.2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5.75" customHeight="1" x14ac:dyDescent="0.2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5.75" customHeight="1" x14ac:dyDescent="0.2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5.75" customHeight="1" x14ac:dyDescent="0.2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5.75" customHeight="1" x14ac:dyDescent="0.2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5.75" customHeight="1" x14ac:dyDescent="0.2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5.75" customHeight="1" x14ac:dyDescent="0.2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5.75" customHeight="1" x14ac:dyDescent="0.2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5.75" customHeight="1" x14ac:dyDescent="0.2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5.75" customHeight="1" x14ac:dyDescent="0.2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5.75" customHeight="1" x14ac:dyDescent="0.2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5.75" customHeight="1" x14ac:dyDescent="0.2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5.75" customHeight="1" x14ac:dyDescent="0.2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5.75" customHeight="1" x14ac:dyDescent="0.2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5.75" customHeight="1" x14ac:dyDescent="0.2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5.75" customHeight="1" x14ac:dyDescent="0.25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5.75" customHeight="1" x14ac:dyDescent="0.25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5.75" customHeight="1" x14ac:dyDescent="0.25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5.75" customHeight="1" x14ac:dyDescent="0.25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spans="1:26" ht="15.75" customHeight="1" x14ac:dyDescent="0.25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">
    <mergeCell ref="B14:K1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P&amp;L Source</vt:lpstr>
      <vt:lpstr>BS source</vt:lpstr>
      <vt:lpstr>P&amp;L assumptions</vt:lpstr>
      <vt:lpstr>BS assumptions</vt:lpstr>
      <vt:lpstr>P&amp;L </vt:lpstr>
      <vt:lpstr>BS</vt:lpstr>
      <vt:lpstr>Cash Flow</vt:lpstr>
      <vt:lpstr>DCF Valuation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sayamgudhka24@gmail.com</dc:creator>
  <cp:lastModifiedBy>Utpal Patidar</cp:lastModifiedBy>
  <dcterms:created xsi:type="dcterms:W3CDTF">2023-07-04T14:34:58Z</dcterms:created>
  <dcterms:modified xsi:type="dcterms:W3CDTF">2026-02-28T13:09:05Z</dcterms:modified>
</cp:coreProperties>
</file>