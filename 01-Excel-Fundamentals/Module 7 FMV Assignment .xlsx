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tpal\Downloads\"/>
    </mc:Choice>
  </mc:AlternateContent>
  <xr:revisionPtr revIDLastSave="0" documentId="13_ncr:1_{11B4E104-7AE9-4769-AF1E-1FB1CE15C7F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V &amp; FV" sheetId="1" r:id="rId1"/>
    <sheet name="IRR" sheetId="2" r:id="rId2"/>
    <sheet name="Loan" sheetId="3" r:id="rId3"/>
    <sheet name="Dat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4" l="1"/>
  <c r="I8" i="4"/>
  <c r="I4" i="4"/>
  <c r="H6" i="4"/>
  <c r="H8" i="4"/>
  <c r="H4" i="4"/>
  <c r="G6" i="4"/>
  <c r="G8" i="4"/>
  <c r="G4" i="4"/>
  <c r="D6" i="4"/>
  <c r="D8" i="4"/>
  <c r="D4" i="4"/>
  <c r="E13" i="3"/>
  <c r="C14" i="3" s="1"/>
  <c r="D14" i="3" s="1"/>
  <c r="E14" i="3" s="1"/>
  <c r="D13" i="3"/>
  <c r="C13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E12" i="3"/>
  <c r="D12" i="3"/>
  <c r="C12" i="3"/>
  <c r="B12" i="3"/>
  <c r="E11" i="3"/>
  <c r="D11" i="3"/>
  <c r="C11" i="3"/>
  <c r="B11" i="3"/>
  <c r="B16" i="2"/>
  <c r="B11" i="1"/>
  <c r="B13" i="1"/>
  <c r="D8" i="1"/>
  <c r="E8" i="1"/>
  <c r="F8" i="1"/>
  <c r="G8" i="1"/>
  <c r="C8" i="1"/>
  <c r="B8" i="1"/>
  <c r="B5" i="3"/>
  <c r="B8" i="3" s="1"/>
  <c r="B3" i="3"/>
  <c r="B8" i="2"/>
  <c r="C15" i="3" l="1"/>
  <c r="D15" i="3" s="1"/>
  <c r="E15" i="3"/>
  <c r="D9" i="2"/>
  <c r="E9" i="2"/>
  <c r="G9" i="2"/>
  <c r="B13" i="2"/>
  <c r="B14" i="2" s="1"/>
  <c r="F9" i="2"/>
  <c r="C9" i="2"/>
  <c r="B11" i="2"/>
  <c r="B9" i="2"/>
  <c r="C16" i="3" l="1"/>
  <c r="D16" i="3" s="1"/>
  <c r="E16" i="3"/>
  <c r="C17" i="3" l="1"/>
  <c r="D17" i="3" s="1"/>
  <c r="E17" i="3" s="1"/>
  <c r="C18" i="3" l="1"/>
  <c r="D18" i="3" s="1"/>
  <c r="E18" i="3"/>
  <c r="C19" i="3" l="1"/>
  <c r="D19" i="3" s="1"/>
  <c r="E19" i="3" s="1"/>
  <c r="C20" i="3" l="1"/>
  <c r="D20" i="3" s="1"/>
  <c r="E20" i="3" s="1"/>
  <c r="C21" i="3" l="1"/>
  <c r="D21" i="3" s="1"/>
  <c r="E21" i="3" s="1"/>
  <c r="C22" i="3" l="1"/>
  <c r="D22" i="3" s="1"/>
  <c r="E22" i="3" s="1"/>
  <c r="C23" i="3" l="1"/>
  <c r="D23" i="3" s="1"/>
  <c r="E23" i="3"/>
  <c r="C24" i="3" l="1"/>
  <c r="D24" i="3" s="1"/>
  <c r="E24" i="3"/>
  <c r="C25" i="3" l="1"/>
  <c r="D25" i="3" s="1"/>
  <c r="E25" i="3" s="1"/>
  <c r="C26" i="3" l="1"/>
  <c r="D26" i="3" s="1"/>
  <c r="E26" i="3" s="1"/>
  <c r="C27" i="3" l="1"/>
  <c r="D27" i="3" s="1"/>
  <c r="E27" i="3" s="1"/>
  <c r="C28" i="3" l="1"/>
  <c r="D28" i="3" s="1"/>
  <c r="E28" i="3" s="1"/>
  <c r="C29" i="3" l="1"/>
  <c r="D29" i="3" s="1"/>
  <c r="E29" i="3" s="1"/>
  <c r="C30" i="3" l="1"/>
  <c r="D30" i="3" s="1"/>
  <c r="E30" i="3" s="1"/>
  <c r="C31" i="3" l="1"/>
  <c r="D31" i="3" s="1"/>
  <c r="E31" i="3" s="1"/>
  <c r="C32" i="3" l="1"/>
  <c r="D32" i="3" s="1"/>
  <c r="E32" i="3" s="1"/>
  <c r="C33" i="3" l="1"/>
  <c r="D33" i="3" s="1"/>
  <c r="E33" i="3" s="1"/>
  <c r="C34" i="3" l="1"/>
  <c r="D34" i="3" s="1"/>
  <c r="E34" i="3" s="1"/>
  <c r="C35" i="3" l="1"/>
  <c r="D35" i="3" s="1"/>
  <c r="E35" i="3" s="1"/>
  <c r="C36" i="3" l="1"/>
  <c r="D36" i="3" s="1"/>
  <c r="E36" i="3" s="1"/>
  <c r="C37" i="3" l="1"/>
  <c r="D37" i="3" s="1"/>
  <c r="E37" i="3" s="1"/>
  <c r="C38" i="3" l="1"/>
  <c r="D38" i="3" s="1"/>
  <c r="E38" i="3" s="1"/>
  <c r="C39" i="3" l="1"/>
  <c r="D39" i="3" s="1"/>
  <c r="E39" i="3" s="1"/>
  <c r="C40" i="3" l="1"/>
  <c r="D40" i="3" s="1"/>
  <c r="E40" i="3" s="1"/>
  <c r="C41" i="3" l="1"/>
  <c r="D41" i="3" s="1"/>
  <c r="E41" i="3"/>
  <c r="C42" i="3" l="1"/>
  <c r="D42" i="3" s="1"/>
  <c r="E42" i="3" s="1"/>
  <c r="C43" i="3" l="1"/>
  <c r="D43" i="3" s="1"/>
  <c r="E43" i="3" s="1"/>
  <c r="C44" i="3" l="1"/>
  <c r="D44" i="3" s="1"/>
  <c r="E44" i="3" s="1"/>
  <c r="C45" i="3" l="1"/>
  <c r="D45" i="3" s="1"/>
  <c r="E45" i="3" s="1"/>
  <c r="C46" i="3" l="1"/>
  <c r="D46" i="3" s="1"/>
  <c r="E46" i="3" s="1"/>
  <c r="C47" i="3" l="1"/>
  <c r="D47" i="3" s="1"/>
  <c r="E47" i="3" s="1"/>
  <c r="C48" i="3" l="1"/>
  <c r="D48" i="3" s="1"/>
  <c r="E48" i="3" s="1"/>
  <c r="C49" i="3" l="1"/>
  <c r="D49" i="3" s="1"/>
  <c r="E49" i="3" s="1"/>
  <c r="C50" i="3" l="1"/>
  <c r="D50" i="3" s="1"/>
  <c r="E50" i="3" s="1"/>
  <c r="C51" i="3" l="1"/>
  <c r="D51" i="3" s="1"/>
  <c r="E51" i="3" s="1"/>
  <c r="C52" i="3" l="1"/>
  <c r="D52" i="3" s="1"/>
  <c r="E52" i="3" s="1"/>
  <c r="C53" i="3" l="1"/>
  <c r="D53" i="3" s="1"/>
  <c r="E53" i="3" s="1"/>
  <c r="C54" i="3" l="1"/>
  <c r="D54" i="3" s="1"/>
  <c r="E54" i="3" s="1"/>
  <c r="C55" i="3" l="1"/>
  <c r="D55" i="3" s="1"/>
  <c r="E55" i="3" s="1"/>
  <c r="C56" i="3" l="1"/>
  <c r="D56" i="3" s="1"/>
  <c r="E56" i="3" s="1"/>
  <c r="C57" i="3" l="1"/>
  <c r="D57" i="3" s="1"/>
  <c r="E57" i="3" s="1"/>
  <c r="C58" i="3" l="1"/>
  <c r="D58" i="3" s="1"/>
  <c r="E58" i="3" s="1"/>
  <c r="C59" i="3" l="1"/>
  <c r="D59" i="3" s="1"/>
  <c r="E59" i="3" s="1"/>
  <c r="C60" i="3" l="1"/>
  <c r="D60" i="3" s="1"/>
  <c r="E60" i="3" s="1"/>
  <c r="E61" i="3" l="1"/>
  <c r="C61" i="3"/>
  <c r="D61" i="3" s="1"/>
  <c r="C62" i="3" l="1"/>
  <c r="D62" i="3" s="1"/>
  <c r="E62" i="3" s="1"/>
  <c r="E63" i="3" l="1"/>
  <c r="C63" i="3"/>
  <c r="D63" i="3" s="1"/>
  <c r="C64" i="3" l="1"/>
  <c r="D64" i="3" s="1"/>
  <c r="E64" i="3" s="1"/>
  <c r="C65" i="3" l="1"/>
  <c r="D65" i="3" s="1"/>
  <c r="E65" i="3" s="1"/>
  <c r="E66" i="3" l="1"/>
  <c r="C66" i="3"/>
  <c r="D66" i="3" s="1"/>
  <c r="C67" i="3" l="1"/>
  <c r="D67" i="3" s="1"/>
  <c r="E67" i="3" s="1"/>
  <c r="E68" i="3" l="1"/>
  <c r="C68" i="3"/>
  <c r="D68" i="3" s="1"/>
  <c r="C69" i="3" l="1"/>
  <c r="D69" i="3" s="1"/>
  <c r="E69" i="3" s="1"/>
  <c r="E70" i="3" l="1"/>
  <c r="C70" i="3"/>
  <c r="D70" i="3" s="1"/>
  <c r="C71" i="3" l="1"/>
  <c r="D71" i="3" s="1"/>
  <c r="E71" i="3" s="1"/>
  <c r="C72" i="3" l="1"/>
  <c r="D72" i="3" s="1"/>
  <c r="E72" i="3" s="1"/>
  <c r="C73" i="3" l="1"/>
  <c r="D73" i="3" s="1"/>
  <c r="E73" i="3"/>
  <c r="C74" i="3" l="1"/>
  <c r="D74" i="3" s="1"/>
  <c r="E74" i="3"/>
  <c r="C75" i="3" l="1"/>
  <c r="D75" i="3" s="1"/>
  <c r="E75" i="3" s="1"/>
  <c r="C76" i="3" l="1"/>
  <c r="D76" i="3" s="1"/>
  <c r="E76" i="3"/>
  <c r="C77" i="3" l="1"/>
  <c r="D77" i="3" s="1"/>
  <c r="E77" i="3" s="1"/>
  <c r="C78" i="3" l="1"/>
  <c r="D78" i="3" s="1"/>
  <c r="E78" i="3" s="1"/>
  <c r="E79" i="3" l="1"/>
  <c r="C79" i="3"/>
  <c r="D79" i="3" s="1"/>
  <c r="C80" i="3" l="1"/>
  <c r="D80" i="3" s="1"/>
  <c r="E80" i="3" s="1"/>
  <c r="E81" i="3" l="1"/>
  <c r="C81" i="3"/>
  <c r="D81" i="3" s="1"/>
  <c r="C82" i="3" l="1"/>
  <c r="D82" i="3" s="1"/>
  <c r="E82" i="3" s="1"/>
  <c r="E83" i="3" l="1"/>
  <c r="C83" i="3"/>
  <c r="D83" i="3" s="1"/>
  <c r="C84" i="3" l="1"/>
  <c r="D84" i="3" s="1"/>
  <c r="E84" i="3" s="1"/>
  <c r="C85" i="3" l="1"/>
  <c r="D85" i="3" s="1"/>
  <c r="E85" i="3" s="1"/>
  <c r="E86" i="3" l="1"/>
  <c r="C86" i="3"/>
  <c r="D86" i="3" s="1"/>
  <c r="E87" i="3" l="1"/>
  <c r="C87" i="3"/>
  <c r="D87" i="3" s="1"/>
  <c r="E88" i="3" l="1"/>
  <c r="C88" i="3"/>
  <c r="D88" i="3" s="1"/>
  <c r="C89" i="3" l="1"/>
  <c r="D89" i="3" s="1"/>
  <c r="E89" i="3" s="1"/>
  <c r="C90" i="3" l="1"/>
  <c r="D90" i="3" s="1"/>
  <c r="E90" i="3" s="1"/>
  <c r="C91" i="3" l="1"/>
  <c r="D91" i="3" s="1"/>
  <c r="E91" i="3" s="1"/>
  <c r="C92" i="3" l="1"/>
  <c r="D92" i="3" s="1"/>
  <c r="E92" i="3" s="1"/>
  <c r="E93" i="3" l="1"/>
  <c r="C93" i="3"/>
  <c r="D93" i="3" s="1"/>
  <c r="C94" i="3" l="1"/>
  <c r="D94" i="3" s="1"/>
  <c r="E94" i="3" s="1"/>
  <c r="C95" i="3" l="1"/>
  <c r="D95" i="3" s="1"/>
  <c r="E95" i="3" s="1"/>
  <c r="C96" i="3" l="1"/>
  <c r="D96" i="3" s="1"/>
  <c r="E96" i="3" s="1"/>
  <c r="C97" i="3" l="1"/>
  <c r="D97" i="3" s="1"/>
  <c r="E97" i="3" s="1"/>
  <c r="E98" i="3" l="1"/>
  <c r="C98" i="3"/>
  <c r="D98" i="3" s="1"/>
  <c r="C99" i="3" l="1"/>
  <c r="D99" i="3" s="1"/>
  <c r="E99" i="3" s="1"/>
  <c r="C100" i="3" l="1"/>
  <c r="D100" i="3" s="1"/>
  <c r="E100" i="3" s="1"/>
  <c r="C101" i="3" l="1"/>
  <c r="D101" i="3" s="1"/>
  <c r="E101" i="3" s="1"/>
  <c r="C102" i="3" l="1"/>
  <c r="D102" i="3" s="1"/>
  <c r="E102" i="3"/>
  <c r="C103" i="3" l="1"/>
  <c r="D103" i="3" s="1"/>
  <c r="E103" i="3" s="1"/>
  <c r="C104" i="3" l="1"/>
  <c r="D104" i="3" s="1"/>
  <c r="E104" i="3" s="1"/>
  <c r="C105" i="3" l="1"/>
  <c r="D105" i="3" s="1"/>
  <c r="E105" i="3" s="1"/>
  <c r="C106" i="3" l="1"/>
  <c r="D106" i="3" s="1"/>
  <c r="E106" i="3" s="1"/>
  <c r="E107" i="3" l="1"/>
  <c r="C107" i="3"/>
  <c r="D107" i="3" s="1"/>
  <c r="C108" i="3" l="1"/>
  <c r="D108" i="3" s="1"/>
  <c r="E108" i="3" s="1"/>
  <c r="C109" i="3" l="1"/>
  <c r="D109" i="3" s="1"/>
  <c r="E109" i="3" s="1"/>
  <c r="C110" i="3" l="1"/>
  <c r="D110" i="3" s="1"/>
  <c r="E110" i="3" s="1"/>
  <c r="E111" i="3" l="1"/>
  <c r="C111" i="3"/>
  <c r="D111" i="3" s="1"/>
  <c r="C112" i="3" l="1"/>
  <c r="D112" i="3" s="1"/>
  <c r="E112" i="3" s="1"/>
  <c r="C113" i="3" l="1"/>
  <c r="D113" i="3" s="1"/>
  <c r="E113" i="3" s="1"/>
  <c r="C114" i="3" l="1"/>
  <c r="D114" i="3" s="1"/>
  <c r="E114" i="3" s="1"/>
  <c r="C115" i="3" l="1"/>
  <c r="D115" i="3" s="1"/>
  <c r="E115" i="3" s="1"/>
  <c r="C116" i="3" l="1"/>
  <c r="D116" i="3" s="1"/>
  <c r="E116" i="3" s="1"/>
  <c r="C117" i="3" l="1"/>
  <c r="D117" i="3" s="1"/>
  <c r="E117" i="3"/>
  <c r="C118" i="3" l="1"/>
  <c r="D118" i="3" s="1"/>
  <c r="E118" i="3" s="1"/>
  <c r="C119" i="3" l="1"/>
  <c r="D119" i="3" s="1"/>
  <c r="E119" i="3"/>
  <c r="C120" i="3" l="1"/>
  <c r="D120" i="3" s="1"/>
  <c r="E120" i="3" s="1"/>
  <c r="C121" i="3" l="1"/>
  <c r="D121" i="3" s="1"/>
  <c r="E121" i="3"/>
  <c r="C122" i="3" l="1"/>
  <c r="D122" i="3" s="1"/>
  <c r="E122" i="3"/>
  <c r="C123" i="3" l="1"/>
  <c r="D123" i="3" s="1"/>
  <c r="E123" i="3"/>
  <c r="C124" i="3" l="1"/>
  <c r="D124" i="3" s="1"/>
  <c r="E124" i="3"/>
  <c r="C125" i="3" l="1"/>
  <c r="D125" i="3" s="1"/>
  <c r="E125" i="3"/>
  <c r="C126" i="3" l="1"/>
  <c r="D126" i="3" s="1"/>
  <c r="E126" i="3" s="1"/>
  <c r="C127" i="3" l="1"/>
  <c r="D127" i="3" s="1"/>
  <c r="E127" i="3"/>
  <c r="C128" i="3" l="1"/>
  <c r="D128" i="3" s="1"/>
  <c r="E128" i="3" s="1"/>
  <c r="C129" i="3" l="1"/>
  <c r="D129" i="3" s="1"/>
  <c r="E129" i="3"/>
  <c r="C130" i="3" l="1"/>
  <c r="D130" i="3" s="1"/>
  <c r="E130" i="3" s="1"/>
</calcChain>
</file>

<file path=xl/sharedStrings.xml><?xml version="1.0" encoding="utf-8"?>
<sst xmlns="http://schemas.openxmlformats.org/spreadsheetml/2006/main" count="47" uniqueCount="36">
  <si>
    <t xml:space="preserve">Calculating PV &amp; FV </t>
  </si>
  <si>
    <t>Mention the formulas used while calculating this sum</t>
  </si>
  <si>
    <t>Interest Rate</t>
  </si>
  <si>
    <t>Year</t>
  </si>
  <si>
    <t>Cashflow</t>
  </si>
  <si>
    <t>PV of Cashflow</t>
  </si>
  <si>
    <t>DCF Approach- Projected NPV</t>
  </si>
  <si>
    <t>NPV</t>
  </si>
  <si>
    <t>Calculating Internal Rate of Return (IRR)</t>
  </si>
  <si>
    <t>PV @ new IRR</t>
  </si>
  <si>
    <t>IRR</t>
  </si>
  <si>
    <t>Loan Schedule</t>
  </si>
  <si>
    <t>Tenure in months</t>
  </si>
  <si>
    <t>Interest Rate Annual</t>
  </si>
  <si>
    <t>Interest Rate Monthly</t>
  </si>
  <si>
    <t>Loan INR</t>
  </si>
  <si>
    <t>EMI</t>
  </si>
  <si>
    <t>Month</t>
  </si>
  <si>
    <t>Interest</t>
  </si>
  <si>
    <t>Principal</t>
  </si>
  <si>
    <t>Residual Loan</t>
  </si>
  <si>
    <t>Date &amp; Time Functions</t>
  </si>
  <si>
    <t>Start</t>
  </si>
  <si>
    <t>End</t>
  </si>
  <si>
    <t>Difference</t>
  </si>
  <si>
    <t>End of month</t>
  </si>
  <si>
    <t>Exact date</t>
  </si>
  <si>
    <t>PV Formula: PV = Cashflow / (1 + r)^t</t>
  </si>
  <si>
    <t>NPV (DCF Approach): NPV = SUM of Discounted Cashflows</t>
  </si>
  <si>
    <t>Excel NPV Formula: =NPV(rate, Year1:YearN) + Initial Investment</t>
  </si>
  <si>
    <t>IRR Formula: IRR = Discount rate where NPV = 0</t>
  </si>
  <si>
    <t>Excel IRR Formula: =IRR(range_of_cashflows)</t>
  </si>
  <si>
    <t>EMI Formula: EMI = PMT(rate, nper, loaan)</t>
  </si>
  <si>
    <t>Interest: Interest = Outstanding Loan × Monthly Rate</t>
  </si>
  <si>
    <t>Principal:Principal = EMI − Interest</t>
  </si>
  <si>
    <t>Residual Loan: Residual = Previous Loan −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</si>
</sst>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43" formatCode="_ * #,##0.00_ ;_ * \-#,##0.00_ ;_ * &quot;-&quot;??_ ;_ @_ "/>
    <numFmt numFmtId="164" formatCode="_ * #,##0_ ;_ * \-#,##0_ ;_ * &quot;-&quot;??_ ;_ @_ "/>
  </numFmts>
  <fonts count="8">
    <font>
      <sz val="11"/>
      <color rgb="FF000000"/>
      <name val="Calibri"/>
      <scheme val="minor"/>
    </font>
    <font>
      <b/>
      <sz val="20"/>
      <name val="Calibri"/>
    </font>
    <font>
      <b/>
      <sz val="12"/>
      <name val="Calibri"/>
    </font>
    <font>
      <sz val="11"/>
      <name val="Calibri"/>
    </font>
    <font>
      <sz val="10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/>
    <xf numFmtId="164" fontId="3" fillId="0" borderId="0" xfId="0" applyNumberFormat="1" applyFont="1"/>
    <xf numFmtId="8" fontId="3" fillId="0" borderId="0" xfId="0" applyNumberFormat="1" applyFont="1"/>
    <xf numFmtId="10" fontId="3" fillId="0" borderId="0" xfId="0" applyNumberFormat="1" applyFont="1"/>
    <xf numFmtId="43" fontId="3" fillId="0" borderId="0" xfId="0" applyNumberFormat="1" applyFont="1"/>
    <xf numFmtId="14" fontId="3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4" fontId="3" fillId="0" borderId="4" xfId="0" applyNumberFormat="1" applyFont="1" applyBorder="1"/>
    <xf numFmtId="14" fontId="3" fillId="0" borderId="5" xfId="0" applyNumberFormat="1" applyFont="1" applyBorder="1"/>
    <xf numFmtId="0" fontId="3" fillId="0" borderId="4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/>
    </xf>
    <xf numFmtId="8" fontId="0" fillId="0" borderId="0" xfId="0" applyNumberFormat="1"/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2" fontId="0" fillId="0" borderId="0" xfId="0" applyNumberForma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4" fontId="3" fillId="0" borderId="0" xfId="0" applyNumberFormat="1" applyFont="1" applyBorder="1"/>
    <xf numFmtId="14" fontId="3" fillId="0" borderId="6" xfId="0" applyNumberFormat="1" applyFont="1" applyBorder="1"/>
    <xf numFmtId="14" fontId="3" fillId="0" borderId="7" xfId="0" applyNumberFormat="1" applyFont="1" applyBorder="1"/>
    <xf numFmtId="14" fontId="3" fillId="0" borderId="8" xfId="0" applyNumberFormat="1" applyFont="1" applyBorder="1"/>
    <xf numFmtId="0" fontId="3" fillId="0" borderId="0" xfId="0" applyFont="1" applyBorder="1"/>
    <xf numFmtId="0" fontId="3" fillId="0" borderId="5" xfId="0" applyNumberFormat="1" applyFont="1" applyBorder="1"/>
    <xf numFmtId="0" fontId="3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workbookViewId="0">
      <selection activeCell="C13" sqref="C13:G13"/>
    </sheetView>
  </sheetViews>
  <sheetFormatPr defaultColWidth="14.44140625" defaultRowHeight="15" customHeight="1"/>
  <cols>
    <col min="1" max="1" width="27.88671875" customWidth="1"/>
    <col min="2" max="2" width="8.6640625" customWidth="1"/>
    <col min="3" max="4" width="9.44140625" bestFit="1" customWidth="1"/>
    <col min="5" max="9" width="8.6640625" customWidth="1"/>
    <col min="10" max="10" width="9.21875" customWidth="1"/>
    <col min="11" max="11" width="8.6640625" customWidth="1"/>
  </cols>
  <sheetData>
    <row r="1" spans="1:14" ht="25.8">
      <c r="A1" s="17" t="s">
        <v>0</v>
      </c>
      <c r="B1" s="16"/>
      <c r="C1" s="16"/>
      <c r="D1" s="16"/>
      <c r="E1" s="16"/>
      <c r="F1" s="16"/>
      <c r="G1" s="16"/>
      <c r="K1" s="1" t="s">
        <v>1</v>
      </c>
      <c r="L1" s="1"/>
      <c r="M1" s="1"/>
      <c r="N1" s="1"/>
    </row>
    <row r="2" spans="1:14" ht="15" customHeight="1">
      <c r="K2" s="22" t="s">
        <v>27</v>
      </c>
      <c r="L2" s="20"/>
      <c r="M2" s="20"/>
      <c r="N2" s="20"/>
    </row>
    <row r="3" spans="1:14" ht="14.25" customHeight="1">
      <c r="A3" t="s">
        <v>2</v>
      </c>
      <c r="C3" s="3">
        <v>0.08</v>
      </c>
      <c r="K3" s="21" t="s">
        <v>28</v>
      </c>
      <c r="L3" s="20"/>
      <c r="M3" s="20"/>
      <c r="N3" s="20"/>
    </row>
    <row r="4" spans="1:14" ht="15" customHeight="1">
      <c r="K4" s="19" t="s">
        <v>29</v>
      </c>
      <c r="L4" s="20"/>
      <c r="M4" s="20"/>
      <c r="N4" s="20"/>
    </row>
    <row r="5" spans="1:14" ht="15" customHeight="1">
      <c r="K5" s="15"/>
      <c r="L5" s="16"/>
      <c r="M5" s="16"/>
      <c r="N5" s="16"/>
    </row>
    <row r="6" spans="1:14" ht="15.6">
      <c r="A6" t="s">
        <v>3</v>
      </c>
      <c r="B6" s="2">
        <v>0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K6" s="15"/>
      <c r="L6" s="16"/>
      <c r="M6" s="16"/>
      <c r="N6" s="16"/>
    </row>
    <row r="7" spans="1:14" ht="15.6">
      <c r="A7" t="s">
        <v>4</v>
      </c>
      <c r="B7">
        <v>-1000</v>
      </c>
      <c r="C7">
        <v>75</v>
      </c>
      <c r="D7">
        <v>150</v>
      </c>
      <c r="E7">
        <v>200</v>
      </c>
      <c r="F7">
        <v>275</v>
      </c>
      <c r="G7">
        <v>350</v>
      </c>
      <c r="K7" s="15"/>
      <c r="L7" s="16"/>
      <c r="M7" s="16"/>
      <c r="N7" s="16"/>
    </row>
    <row r="8" spans="1:14" ht="15.6">
      <c r="A8" t="s">
        <v>5</v>
      </c>
      <c r="B8">
        <f>B7</f>
        <v>-1000</v>
      </c>
      <c r="C8" s="4">
        <f>C7/(1+$C$3)^C6</f>
        <v>69.444444444444443</v>
      </c>
      <c r="D8" s="4">
        <f t="shared" ref="D8:G8" si="0">D7/(1+$C$3)^D6</f>
        <v>128.60082304526748</v>
      </c>
      <c r="E8" s="4">
        <f t="shared" si="0"/>
        <v>158.76644820403391</v>
      </c>
      <c r="F8" s="4">
        <f t="shared" si="0"/>
        <v>202.13320951902463</v>
      </c>
      <c r="G8" s="4">
        <f t="shared" si="0"/>
        <v>238.20411896181355</v>
      </c>
      <c r="K8" s="15"/>
      <c r="L8" s="16"/>
      <c r="M8" s="16"/>
      <c r="N8" s="16"/>
    </row>
    <row r="11" spans="1:14" ht="14.4">
      <c r="A11" t="s">
        <v>6</v>
      </c>
      <c r="B11" s="23">
        <f>SUM(B8:G8)</f>
        <v>-202.85095582541607</v>
      </c>
      <c r="C11" s="18"/>
      <c r="D11" s="18"/>
      <c r="E11" s="18"/>
      <c r="F11" s="18"/>
      <c r="G11" s="18"/>
    </row>
    <row r="13" spans="1:14" ht="14.4">
      <c r="A13" t="s">
        <v>7</v>
      </c>
      <c r="B13" s="5">
        <f>NPV(C3,C7:G7)+B7</f>
        <v>-202.85095582541601</v>
      </c>
      <c r="C13" s="5"/>
      <c r="D13" s="5"/>
      <c r="E13" s="5"/>
      <c r="F13" s="5"/>
      <c r="G13" s="5"/>
    </row>
    <row r="14" spans="1:14" ht="14.4">
      <c r="B14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A1:G1"/>
    <mergeCell ref="K2:N2"/>
    <mergeCell ref="K3:N3"/>
    <mergeCell ref="K4:N4"/>
    <mergeCell ref="K5:N5"/>
    <mergeCell ref="K6:N6"/>
    <mergeCell ref="K7:N7"/>
    <mergeCell ref="K8:N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workbookViewId="0">
      <selection activeCell="K9" sqref="K9"/>
    </sheetView>
  </sheetViews>
  <sheetFormatPr defaultColWidth="14.44140625" defaultRowHeight="15" customHeight="1"/>
  <cols>
    <col min="1" max="1" width="27.88671875" customWidth="1"/>
    <col min="2" max="11" width="8.6640625" customWidth="1"/>
  </cols>
  <sheetData>
    <row r="1" spans="1:14" ht="25.8">
      <c r="A1" s="17" t="s">
        <v>8</v>
      </c>
      <c r="B1" s="16"/>
      <c r="C1" s="16"/>
      <c r="D1" s="16"/>
      <c r="E1" s="16"/>
      <c r="F1" s="16"/>
      <c r="G1" s="16"/>
      <c r="K1" s="1" t="s">
        <v>1</v>
      </c>
      <c r="L1" s="1"/>
      <c r="M1" s="1"/>
      <c r="N1" s="1"/>
    </row>
    <row r="2" spans="1:14" ht="15" customHeight="1">
      <c r="K2" s="24" t="s">
        <v>30</v>
      </c>
      <c r="L2" s="20"/>
      <c r="M2" s="20"/>
      <c r="N2" s="20"/>
    </row>
    <row r="3" spans="1:14" ht="15.6">
      <c r="A3" t="s">
        <v>2</v>
      </c>
      <c r="C3" s="3">
        <v>0.08</v>
      </c>
      <c r="K3" s="15"/>
      <c r="L3" s="16"/>
      <c r="M3" s="16"/>
      <c r="N3" s="16"/>
    </row>
    <row r="4" spans="1:14" ht="15" customHeight="1">
      <c r="K4" s="19" t="s">
        <v>31</v>
      </c>
      <c r="L4" s="20"/>
      <c r="M4" s="20"/>
      <c r="N4" s="20"/>
    </row>
    <row r="5" spans="1:14" ht="15" customHeight="1">
      <c r="K5" s="15"/>
      <c r="L5" s="16"/>
      <c r="M5" s="16"/>
      <c r="N5" s="16"/>
    </row>
    <row r="6" spans="1:14" ht="15.6">
      <c r="A6" t="s">
        <v>3</v>
      </c>
      <c r="B6" s="2">
        <v>0</v>
      </c>
      <c r="C6" s="2">
        <v>1</v>
      </c>
      <c r="D6" s="2">
        <v>2</v>
      </c>
      <c r="E6" s="2">
        <v>3</v>
      </c>
      <c r="F6" s="2">
        <v>4</v>
      </c>
      <c r="G6" s="2">
        <v>5</v>
      </c>
      <c r="K6" s="15"/>
      <c r="L6" s="16"/>
      <c r="M6" s="16"/>
      <c r="N6" s="16"/>
    </row>
    <row r="7" spans="1:14" ht="15.6">
      <c r="A7" t="s">
        <v>4</v>
      </c>
      <c r="B7">
        <v>-1000</v>
      </c>
      <c r="C7">
        <v>75</v>
      </c>
      <c r="D7">
        <v>150</v>
      </c>
      <c r="E7">
        <v>200</v>
      </c>
      <c r="F7">
        <v>275</v>
      </c>
      <c r="G7">
        <v>350</v>
      </c>
      <c r="K7" s="15"/>
      <c r="L7" s="16"/>
      <c r="M7" s="16"/>
      <c r="N7" s="16"/>
    </row>
    <row r="8" spans="1:14" ht="15.6">
      <c r="A8" t="s">
        <v>5</v>
      </c>
      <c r="B8">
        <f t="shared" ref="B8:B9" si="0">B7</f>
        <v>-1000</v>
      </c>
      <c r="C8" s="4"/>
      <c r="D8" s="4"/>
      <c r="E8" s="4"/>
      <c r="F8" s="4"/>
      <c r="G8" s="4"/>
      <c r="K8" s="15"/>
      <c r="L8" s="16"/>
      <c r="M8" s="16"/>
      <c r="N8" s="16"/>
    </row>
    <row r="9" spans="1:14" ht="14.4">
      <c r="A9" t="s">
        <v>9</v>
      </c>
      <c r="B9">
        <f t="shared" si="0"/>
        <v>-1000</v>
      </c>
      <c r="C9" s="4">
        <f>C7/(1+$B$16)^C6</f>
        <v>73.999232150331864</v>
      </c>
      <c r="D9" s="4">
        <f t="shared" ref="D9:G9" si="1">D7/(1+$B$16)^D6</f>
        <v>146.02363623569892</v>
      </c>
      <c r="E9" s="4">
        <f t="shared" si="1"/>
        <v>192.10021257317504</v>
      </c>
      <c r="F9" s="4">
        <f t="shared" si="1"/>
        <v>260.61325081605884</v>
      </c>
      <c r="G9" s="4">
        <f t="shared" si="1"/>
        <v>327.26366821850041</v>
      </c>
    </row>
    <row r="11" spans="1:14" ht="14.4">
      <c r="A11" t="s">
        <v>6</v>
      </c>
      <c r="B11">
        <f>SUM(B8:G8)</f>
        <v>-1000</v>
      </c>
    </row>
    <row r="13" spans="1:14" ht="14.4">
      <c r="A13" t="s">
        <v>7</v>
      </c>
      <c r="B13" s="5">
        <f>NPV(B16,C7:G7)+B7</f>
        <v>-6.2350409280043095E-9</v>
      </c>
    </row>
    <row r="14" spans="1:14" ht="14.4">
      <c r="B14" s="5">
        <f>B13+D16</f>
        <v>-6.2350409280043095E-9</v>
      </c>
    </row>
    <row r="16" spans="1:14" ht="14.4">
      <c r="A16" t="s">
        <v>10</v>
      </c>
      <c r="B16" s="6">
        <f>IRR(B7:G7)</f>
        <v>1.3524030190408487E-2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A1:G1"/>
    <mergeCell ref="K2:N2"/>
    <mergeCell ref="K3:N3"/>
    <mergeCell ref="K4:N4"/>
    <mergeCell ref="K5:N5"/>
    <mergeCell ref="K6:N6"/>
    <mergeCell ref="K7:N7"/>
    <mergeCell ref="K8:N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0"/>
  <sheetViews>
    <sheetView topLeftCell="A130" zoomScale="115" zoomScaleNormal="115" workbookViewId="0">
      <selection activeCell="K2" sqref="K2:N2"/>
    </sheetView>
  </sheetViews>
  <sheetFormatPr defaultColWidth="14.44140625" defaultRowHeight="15" customHeight="1"/>
  <cols>
    <col min="1" max="1" width="20.5546875" customWidth="1"/>
    <col min="2" max="2" width="12.5546875" customWidth="1"/>
    <col min="3" max="3" width="10" customWidth="1"/>
    <col min="4" max="4" width="10.6640625" customWidth="1"/>
    <col min="5" max="5" width="13.33203125" customWidth="1"/>
    <col min="6" max="11" width="8.6640625" customWidth="1"/>
  </cols>
  <sheetData>
    <row r="1" spans="1:14" ht="25.8">
      <c r="A1" s="17" t="s">
        <v>11</v>
      </c>
      <c r="B1" s="16"/>
      <c r="C1" s="16"/>
      <c r="D1" s="16"/>
      <c r="E1" s="16"/>
      <c r="F1" s="16"/>
      <c r="K1" s="25" t="s">
        <v>1</v>
      </c>
      <c r="L1" s="1"/>
      <c r="M1" s="1"/>
      <c r="N1" s="1"/>
    </row>
    <row r="2" spans="1:14" ht="15" customHeight="1">
      <c r="K2" s="24" t="s">
        <v>32</v>
      </c>
      <c r="L2" s="20"/>
      <c r="M2" s="20"/>
      <c r="N2" s="20"/>
    </row>
    <row r="3" spans="1:14" ht="14.4">
      <c r="A3" t="s">
        <v>12</v>
      </c>
      <c r="B3">
        <f>10*12</f>
        <v>120</v>
      </c>
      <c r="K3" s="19" t="s">
        <v>33</v>
      </c>
      <c r="L3" s="20"/>
      <c r="M3" s="20"/>
      <c r="N3" s="20"/>
    </row>
    <row r="4" spans="1:14" ht="14.4">
      <c r="A4" t="s">
        <v>13</v>
      </c>
      <c r="B4" s="3">
        <v>0.1</v>
      </c>
      <c r="K4" s="19" t="s">
        <v>34</v>
      </c>
      <c r="L4" s="26"/>
      <c r="M4" s="26"/>
      <c r="N4" s="26"/>
    </row>
    <row r="5" spans="1:14" ht="14.4">
      <c r="A5" t="s">
        <v>14</v>
      </c>
      <c r="B5" s="6">
        <f>B4/12</f>
        <v>8.3333333333333332E-3</v>
      </c>
      <c r="K5" s="19" t="s">
        <v>35</v>
      </c>
      <c r="L5" s="20"/>
      <c r="M5" s="20"/>
      <c r="N5" s="20"/>
    </row>
    <row r="6" spans="1:14" ht="15.6">
      <c r="A6" t="s">
        <v>15</v>
      </c>
      <c r="B6" s="4">
        <v>2500000</v>
      </c>
      <c r="K6" s="15"/>
      <c r="L6" s="16"/>
      <c r="M6" s="16"/>
      <c r="N6" s="16"/>
    </row>
    <row r="7" spans="1:14" ht="15" customHeight="1">
      <c r="K7" s="15"/>
      <c r="L7" s="16"/>
      <c r="M7" s="16"/>
      <c r="N7" s="16"/>
    </row>
    <row r="8" spans="1:14" ht="15.6">
      <c r="A8" t="s">
        <v>16</v>
      </c>
      <c r="B8" s="5">
        <f>-PMT(B5,B3,B6)</f>
        <v>33037.684220440417</v>
      </c>
      <c r="K8" s="15"/>
      <c r="L8" s="16"/>
      <c r="M8" s="16"/>
      <c r="N8" s="16"/>
    </row>
    <row r="10" spans="1:14" ht="14.4">
      <c r="A10" t="s">
        <v>17</v>
      </c>
      <c r="B10" t="s">
        <v>16</v>
      </c>
      <c r="C10" t="s">
        <v>18</v>
      </c>
      <c r="D10" t="s">
        <v>19</v>
      </c>
      <c r="E10" t="s">
        <v>20</v>
      </c>
    </row>
    <row r="11" spans="1:14" ht="14.4">
      <c r="A11" s="2">
        <v>1</v>
      </c>
      <c r="B11" s="5">
        <f>$B$8</f>
        <v>33037.684220440417</v>
      </c>
      <c r="C11" s="7">
        <f>$B$6*$B$5</f>
        <v>20833.333333333332</v>
      </c>
      <c r="D11" s="5">
        <f>B11-C11</f>
        <v>12204.350887107084</v>
      </c>
      <c r="E11" s="7">
        <f>$B$6-D11</f>
        <v>2487795.6491128928</v>
      </c>
    </row>
    <row r="12" spans="1:14" ht="14.4">
      <c r="A12" s="2">
        <v>2</v>
      </c>
      <c r="B12" s="5">
        <f>$B$8</f>
        <v>33037.684220440417</v>
      </c>
      <c r="C12" s="7">
        <f>E11*$B$5</f>
        <v>20731.630409274105</v>
      </c>
      <c r="D12" s="5">
        <f>B12-C12</f>
        <v>12306.053811166312</v>
      </c>
      <c r="E12" s="7">
        <f>E11-D12</f>
        <v>2475489.5953017264</v>
      </c>
    </row>
    <row r="13" spans="1:14" ht="14.4">
      <c r="A13" s="2">
        <v>3</v>
      </c>
      <c r="B13" s="5">
        <f t="shared" ref="B13:B76" si="0">$B$8</f>
        <v>33037.684220440417</v>
      </c>
      <c r="C13" s="7">
        <f t="shared" ref="C13:C76" si="1">E12*$B$5</f>
        <v>20629.079960847721</v>
      </c>
      <c r="D13" s="5">
        <f t="shared" ref="D13:D76" si="2">B13-C13</f>
        <v>12408.604259592696</v>
      </c>
      <c r="E13" s="7">
        <f t="shared" ref="E13:E76" si="3">E12-D13</f>
        <v>2463080.9910421339</v>
      </c>
    </row>
    <row r="14" spans="1:14" ht="14.4">
      <c r="A14" s="2">
        <v>4</v>
      </c>
      <c r="B14" s="5">
        <f t="shared" si="0"/>
        <v>33037.684220440417</v>
      </c>
      <c r="C14" s="7">
        <f t="shared" si="1"/>
        <v>20525.674925351115</v>
      </c>
      <c r="D14" s="5">
        <f t="shared" si="2"/>
        <v>12512.009295089301</v>
      </c>
      <c r="E14" s="7">
        <f t="shared" si="3"/>
        <v>2450568.9817470447</v>
      </c>
    </row>
    <row r="15" spans="1:14" ht="14.4">
      <c r="A15" s="2">
        <v>5</v>
      </c>
      <c r="B15" s="5">
        <f t="shared" si="0"/>
        <v>33037.684220440417</v>
      </c>
      <c r="C15" s="7">
        <f t="shared" si="1"/>
        <v>20421.408181225372</v>
      </c>
      <c r="D15" s="5">
        <f t="shared" si="2"/>
        <v>12616.276039215045</v>
      </c>
      <c r="E15" s="7">
        <f t="shared" si="3"/>
        <v>2437952.7057078294</v>
      </c>
    </row>
    <row r="16" spans="1:14" ht="14.4">
      <c r="A16" s="2">
        <v>6</v>
      </c>
      <c r="B16" s="5">
        <f t="shared" si="0"/>
        <v>33037.684220440417</v>
      </c>
      <c r="C16" s="7">
        <f t="shared" si="1"/>
        <v>20316.272547565244</v>
      </c>
      <c r="D16" s="5">
        <f t="shared" si="2"/>
        <v>12721.411672875172</v>
      </c>
      <c r="E16" s="7">
        <f t="shared" si="3"/>
        <v>2425231.2940349542</v>
      </c>
    </row>
    <row r="17" spans="1:5" ht="14.4">
      <c r="A17" s="2">
        <v>7</v>
      </c>
      <c r="B17" s="5">
        <f t="shared" si="0"/>
        <v>33037.684220440417</v>
      </c>
      <c r="C17" s="7">
        <f t="shared" si="1"/>
        <v>20210.260783624617</v>
      </c>
      <c r="D17" s="5">
        <f t="shared" si="2"/>
        <v>12827.4234368158</v>
      </c>
      <c r="E17" s="7">
        <f t="shared" si="3"/>
        <v>2412403.8705981383</v>
      </c>
    </row>
    <row r="18" spans="1:5" ht="14.4">
      <c r="A18" s="2">
        <v>8</v>
      </c>
      <c r="B18" s="5">
        <f t="shared" si="0"/>
        <v>33037.684220440417</v>
      </c>
      <c r="C18" s="7">
        <f t="shared" si="1"/>
        <v>20103.365588317818</v>
      </c>
      <c r="D18" s="5">
        <f t="shared" si="2"/>
        <v>12934.318632122599</v>
      </c>
      <c r="E18" s="7">
        <f t="shared" si="3"/>
        <v>2399469.5519660157</v>
      </c>
    </row>
    <row r="19" spans="1:5" ht="14.4">
      <c r="A19" s="2">
        <v>9</v>
      </c>
      <c r="B19" s="5">
        <f t="shared" si="0"/>
        <v>33037.684220440417</v>
      </c>
      <c r="C19" s="7">
        <f t="shared" si="1"/>
        <v>19995.579599716799</v>
      </c>
      <c r="D19" s="5">
        <f t="shared" si="2"/>
        <v>13042.104620723618</v>
      </c>
      <c r="E19" s="7">
        <f t="shared" si="3"/>
        <v>2386427.4473452922</v>
      </c>
    </row>
    <row r="20" spans="1:5" ht="14.4">
      <c r="A20" s="2">
        <v>10</v>
      </c>
      <c r="B20" s="5">
        <f t="shared" si="0"/>
        <v>33037.684220440417</v>
      </c>
      <c r="C20" s="7">
        <f t="shared" si="1"/>
        <v>19886.895394544103</v>
      </c>
      <c r="D20" s="5">
        <f t="shared" si="2"/>
        <v>13150.788825896314</v>
      </c>
      <c r="E20" s="7">
        <f t="shared" si="3"/>
        <v>2373276.6585193961</v>
      </c>
    </row>
    <row r="21" spans="1:5" ht="15.75" customHeight="1">
      <c r="A21" s="2">
        <v>11</v>
      </c>
      <c r="B21" s="5">
        <f t="shared" si="0"/>
        <v>33037.684220440417</v>
      </c>
      <c r="C21" s="7">
        <f t="shared" si="1"/>
        <v>19777.305487661633</v>
      </c>
      <c r="D21" s="5">
        <f t="shared" si="2"/>
        <v>13260.378732778783</v>
      </c>
      <c r="E21" s="7">
        <f t="shared" si="3"/>
        <v>2360016.2797866175</v>
      </c>
    </row>
    <row r="22" spans="1:5" ht="15.75" customHeight="1">
      <c r="A22" s="2">
        <v>12</v>
      </c>
      <c r="B22" s="5">
        <f t="shared" si="0"/>
        <v>33037.684220440417</v>
      </c>
      <c r="C22" s="7">
        <f t="shared" si="1"/>
        <v>19666.802331555147</v>
      </c>
      <c r="D22" s="5">
        <f t="shared" si="2"/>
        <v>13370.881888885269</v>
      </c>
      <c r="E22" s="7">
        <f t="shared" si="3"/>
        <v>2346645.3978977324</v>
      </c>
    </row>
    <row r="23" spans="1:5" ht="15.75" customHeight="1">
      <c r="A23" s="2">
        <v>13</v>
      </c>
      <c r="B23" s="5">
        <f t="shared" si="0"/>
        <v>33037.684220440417</v>
      </c>
      <c r="C23" s="7">
        <f t="shared" si="1"/>
        <v>19555.378315814436</v>
      </c>
      <c r="D23" s="5">
        <f t="shared" si="2"/>
        <v>13482.30590462598</v>
      </c>
      <c r="E23" s="7">
        <f t="shared" si="3"/>
        <v>2333163.0919931065</v>
      </c>
    </row>
    <row r="24" spans="1:5" ht="15.75" customHeight="1">
      <c r="A24" s="2">
        <v>14</v>
      </c>
      <c r="B24" s="5">
        <f t="shared" si="0"/>
        <v>33037.684220440417</v>
      </c>
      <c r="C24" s="7">
        <f t="shared" si="1"/>
        <v>19443.025766609222</v>
      </c>
      <c r="D24" s="5">
        <f t="shared" si="2"/>
        <v>13594.658453831194</v>
      </c>
      <c r="E24" s="7">
        <f t="shared" si="3"/>
        <v>2319568.4335392755</v>
      </c>
    </row>
    <row r="25" spans="1:5" ht="15.75" customHeight="1">
      <c r="A25" s="2">
        <v>15</v>
      </c>
      <c r="B25" s="5">
        <f t="shared" si="0"/>
        <v>33037.684220440417</v>
      </c>
      <c r="C25" s="7">
        <f t="shared" si="1"/>
        <v>19329.736946160629</v>
      </c>
      <c r="D25" s="5">
        <f t="shared" si="2"/>
        <v>13707.947274279788</v>
      </c>
      <c r="E25" s="7">
        <f t="shared" si="3"/>
        <v>2305860.4862649958</v>
      </c>
    </row>
    <row r="26" spans="1:5" ht="15.75" customHeight="1">
      <c r="A26" s="2">
        <v>16</v>
      </c>
      <c r="B26" s="5">
        <f t="shared" si="0"/>
        <v>33037.684220440417</v>
      </c>
      <c r="C26" s="7">
        <f t="shared" si="1"/>
        <v>19215.504052208296</v>
      </c>
      <c r="D26" s="5">
        <f t="shared" si="2"/>
        <v>13822.18016823212</v>
      </c>
      <c r="E26" s="7">
        <f t="shared" si="3"/>
        <v>2292038.3060967638</v>
      </c>
    </row>
    <row r="27" spans="1:5" ht="15.75" customHeight="1">
      <c r="A27" s="2">
        <v>17</v>
      </c>
      <c r="B27" s="5">
        <f t="shared" si="0"/>
        <v>33037.684220440417</v>
      </c>
      <c r="C27" s="7">
        <f t="shared" si="1"/>
        <v>19100.319217473032</v>
      </c>
      <c r="D27" s="5">
        <f t="shared" si="2"/>
        <v>13937.365002967384</v>
      </c>
      <c r="E27" s="7">
        <f t="shared" si="3"/>
        <v>2278100.9410937964</v>
      </c>
    </row>
    <row r="28" spans="1:5" ht="15.75" customHeight="1">
      <c r="A28" s="2">
        <v>18</v>
      </c>
      <c r="B28" s="5">
        <f t="shared" si="0"/>
        <v>33037.684220440417</v>
      </c>
      <c r="C28" s="7">
        <f t="shared" si="1"/>
        <v>18984.174509114971</v>
      </c>
      <c r="D28" s="5">
        <f t="shared" si="2"/>
        <v>14053.509711325445</v>
      </c>
      <c r="E28" s="7">
        <f t="shared" si="3"/>
        <v>2264047.4313824708</v>
      </c>
    </row>
    <row r="29" spans="1:5" ht="15.75" customHeight="1">
      <c r="A29" s="2">
        <v>19</v>
      </c>
      <c r="B29" s="5">
        <f t="shared" si="0"/>
        <v>33037.684220440417</v>
      </c>
      <c r="C29" s="7">
        <f t="shared" si="1"/>
        <v>18867.061928187257</v>
      </c>
      <c r="D29" s="5">
        <f t="shared" si="2"/>
        <v>14170.62229225316</v>
      </c>
      <c r="E29" s="7">
        <f t="shared" si="3"/>
        <v>2249876.8090902176</v>
      </c>
    </row>
    <row r="30" spans="1:5" ht="15.75" customHeight="1">
      <c r="A30" s="2">
        <v>20</v>
      </c>
      <c r="B30" s="5">
        <f t="shared" si="0"/>
        <v>33037.684220440417</v>
      </c>
      <c r="C30" s="7">
        <f t="shared" si="1"/>
        <v>18748.973409085145</v>
      </c>
      <c r="D30" s="5">
        <f t="shared" si="2"/>
        <v>14288.710811355271</v>
      </c>
      <c r="E30" s="7">
        <f t="shared" si="3"/>
        <v>2235588.0982788624</v>
      </c>
    </row>
    <row r="31" spans="1:5" ht="15.75" customHeight="1">
      <c r="A31" s="2">
        <v>21</v>
      </c>
      <c r="B31" s="5">
        <f t="shared" si="0"/>
        <v>33037.684220440417</v>
      </c>
      <c r="C31" s="7">
        <f t="shared" si="1"/>
        <v>18629.900818990522</v>
      </c>
      <c r="D31" s="5">
        <f t="shared" si="2"/>
        <v>14407.783401449895</v>
      </c>
      <c r="E31" s="7">
        <f t="shared" si="3"/>
        <v>2221180.3148774127</v>
      </c>
    </row>
    <row r="32" spans="1:5" ht="15.75" customHeight="1">
      <c r="A32" s="2">
        <v>22</v>
      </c>
      <c r="B32" s="5">
        <f t="shared" si="0"/>
        <v>33037.684220440417</v>
      </c>
      <c r="C32" s="7">
        <f t="shared" si="1"/>
        <v>18509.835957311774</v>
      </c>
      <c r="D32" s="5">
        <f t="shared" si="2"/>
        <v>14527.848263128642</v>
      </c>
      <c r="E32" s="7">
        <f t="shared" si="3"/>
        <v>2206652.4666142841</v>
      </c>
    </row>
    <row r="33" spans="1:5" ht="15.75" customHeight="1">
      <c r="A33" s="2">
        <v>23</v>
      </c>
      <c r="B33" s="5">
        <f t="shared" si="0"/>
        <v>33037.684220440417</v>
      </c>
      <c r="C33" s="7">
        <f t="shared" si="1"/>
        <v>18388.770555119034</v>
      </c>
      <c r="D33" s="5">
        <f t="shared" si="2"/>
        <v>14648.913665321383</v>
      </c>
      <c r="E33" s="7">
        <f t="shared" si="3"/>
        <v>2192003.5529489629</v>
      </c>
    </row>
    <row r="34" spans="1:5" ht="15.75" customHeight="1">
      <c r="A34" s="2">
        <v>24</v>
      </c>
      <c r="B34" s="5">
        <f t="shared" si="0"/>
        <v>33037.684220440417</v>
      </c>
      <c r="C34" s="7">
        <f t="shared" si="1"/>
        <v>18266.69627457469</v>
      </c>
      <c r="D34" s="5">
        <f t="shared" si="2"/>
        <v>14770.987945865727</v>
      </c>
      <c r="E34" s="7">
        <f t="shared" si="3"/>
        <v>2177232.5650030971</v>
      </c>
    </row>
    <row r="35" spans="1:5" ht="15.75" customHeight="1">
      <c r="A35" s="2">
        <v>25</v>
      </c>
      <c r="B35" s="5">
        <f t="shared" si="0"/>
        <v>33037.684220440417</v>
      </c>
      <c r="C35" s="7">
        <f t="shared" si="1"/>
        <v>18143.60470835914</v>
      </c>
      <c r="D35" s="5">
        <f t="shared" si="2"/>
        <v>14894.079512081276</v>
      </c>
      <c r="E35" s="7">
        <f t="shared" si="3"/>
        <v>2162338.4854910159</v>
      </c>
    </row>
    <row r="36" spans="1:5" ht="15.75" customHeight="1">
      <c r="A36" s="2">
        <v>26</v>
      </c>
      <c r="B36" s="5">
        <f t="shared" si="0"/>
        <v>33037.684220440417</v>
      </c>
      <c r="C36" s="7">
        <f t="shared" si="1"/>
        <v>18019.487379091799</v>
      </c>
      <c r="D36" s="5">
        <f t="shared" si="2"/>
        <v>15018.196841348617</v>
      </c>
      <c r="E36" s="7">
        <f t="shared" si="3"/>
        <v>2147320.2886496675</v>
      </c>
    </row>
    <row r="37" spans="1:5" ht="15.75" customHeight="1">
      <c r="A37" s="2">
        <v>27</v>
      </c>
      <c r="B37" s="5">
        <f t="shared" si="0"/>
        <v>33037.684220440417</v>
      </c>
      <c r="C37" s="7">
        <f t="shared" si="1"/>
        <v>17894.335738747228</v>
      </c>
      <c r="D37" s="5">
        <f t="shared" si="2"/>
        <v>15143.348481693189</v>
      </c>
      <c r="E37" s="7">
        <f t="shared" si="3"/>
        <v>2132176.9401679742</v>
      </c>
    </row>
    <row r="38" spans="1:5" ht="15.75" customHeight="1">
      <c r="A38" s="2">
        <v>28</v>
      </c>
      <c r="B38" s="5">
        <f t="shared" si="0"/>
        <v>33037.684220440417</v>
      </c>
      <c r="C38" s="7">
        <f t="shared" si="1"/>
        <v>17768.141168066453</v>
      </c>
      <c r="D38" s="5">
        <f t="shared" si="2"/>
        <v>15269.543052373963</v>
      </c>
      <c r="E38" s="7">
        <f t="shared" si="3"/>
        <v>2116907.3971156003</v>
      </c>
    </row>
    <row r="39" spans="1:5" ht="15.75" customHeight="1">
      <c r="A39" s="2">
        <v>29</v>
      </c>
      <c r="B39" s="5">
        <f t="shared" si="0"/>
        <v>33037.684220440417</v>
      </c>
      <c r="C39" s="7">
        <f t="shared" si="1"/>
        <v>17640.894975963336</v>
      </c>
      <c r="D39" s="5">
        <f t="shared" si="2"/>
        <v>15396.789244477081</v>
      </c>
      <c r="E39" s="7">
        <f t="shared" si="3"/>
        <v>2101510.6078711231</v>
      </c>
    </row>
    <row r="40" spans="1:5" ht="15.75" customHeight="1">
      <c r="A40" s="2">
        <v>30</v>
      </c>
      <c r="B40" s="5">
        <f t="shared" si="0"/>
        <v>33037.684220440417</v>
      </c>
      <c r="C40" s="7">
        <f t="shared" si="1"/>
        <v>17512.588398926026</v>
      </c>
      <c r="D40" s="5">
        <f t="shared" si="2"/>
        <v>15525.095821514391</v>
      </c>
      <c r="E40" s="7">
        <f t="shared" si="3"/>
        <v>2085985.5120496086</v>
      </c>
    </row>
    <row r="41" spans="1:5" ht="15.75" customHeight="1">
      <c r="A41" s="2">
        <v>31</v>
      </c>
      <c r="B41" s="5">
        <f t="shared" si="0"/>
        <v>33037.684220440417</v>
      </c>
      <c r="C41" s="7">
        <f t="shared" si="1"/>
        <v>17383.212600413404</v>
      </c>
      <c r="D41" s="5">
        <f t="shared" si="2"/>
        <v>15654.471620027012</v>
      </c>
      <c r="E41" s="7">
        <f t="shared" si="3"/>
        <v>2070331.0404295817</v>
      </c>
    </row>
    <row r="42" spans="1:5" ht="15.75" customHeight="1">
      <c r="A42" s="2">
        <v>32</v>
      </c>
      <c r="B42" s="5">
        <f t="shared" si="0"/>
        <v>33037.684220440417</v>
      </c>
      <c r="C42" s="7">
        <f t="shared" si="1"/>
        <v>17252.758670246512</v>
      </c>
      <c r="D42" s="5">
        <f t="shared" si="2"/>
        <v>15784.925550193904</v>
      </c>
      <c r="E42" s="7">
        <f t="shared" si="3"/>
        <v>2054546.1148793877</v>
      </c>
    </row>
    <row r="43" spans="1:5" ht="15.75" customHeight="1">
      <c r="A43" s="2">
        <v>33</v>
      </c>
      <c r="B43" s="5">
        <f t="shared" si="0"/>
        <v>33037.684220440417</v>
      </c>
      <c r="C43" s="7">
        <f t="shared" si="1"/>
        <v>17121.217623994897</v>
      </c>
      <c r="D43" s="5">
        <f t="shared" si="2"/>
        <v>15916.46659644552</v>
      </c>
      <c r="E43" s="7">
        <f t="shared" si="3"/>
        <v>2038629.6482829421</v>
      </c>
    </row>
    <row r="44" spans="1:5" ht="15.75" customHeight="1">
      <c r="A44" s="2">
        <v>34</v>
      </c>
      <c r="B44" s="5">
        <f t="shared" si="0"/>
        <v>33037.684220440417</v>
      </c>
      <c r="C44" s="7">
        <f t="shared" si="1"/>
        <v>16988.580402357849</v>
      </c>
      <c r="D44" s="5">
        <f t="shared" si="2"/>
        <v>16049.103818082567</v>
      </c>
      <c r="E44" s="7">
        <f t="shared" si="3"/>
        <v>2022580.5444648596</v>
      </c>
    </row>
    <row r="45" spans="1:5" ht="15.75" customHeight="1">
      <c r="A45" s="2">
        <v>35</v>
      </c>
      <c r="B45" s="5">
        <f t="shared" si="0"/>
        <v>33037.684220440417</v>
      </c>
      <c r="C45" s="7">
        <f t="shared" si="1"/>
        <v>16854.837870540498</v>
      </c>
      <c r="D45" s="5">
        <f t="shared" si="2"/>
        <v>16182.846349899919</v>
      </c>
      <c r="E45" s="7">
        <f t="shared" si="3"/>
        <v>2006397.6981149598</v>
      </c>
    </row>
    <row r="46" spans="1:5" ht="15.75" customHeight="1">
      <c r="A46" s="2">
        <v>36</v>
      </c>
      <c r="B46" s="5">
        <f t="shared" si="0"/>
        <v>33037.684220440417</v>
      </c>
      <c r="C46" s="7">
        <f t="shared" si="1"/>
        <v>16719.980817624666</v>
      </c>
      <c r="D46" s="5">
        <f t="shared" si="2"/>
        <v>16317.70340281575</v>
      </c>
      <c r="E46" s="7">
        <f t="shared" si="3"/>
        <v>1990079.9947121439</v>
      </c>
    </row>
    <row r="47" spans="1:5" ht="15.75" customHeight="1">
      <c r="A47" s="2">
        <v>37</v>
      </c>
      <c r="B47" s="5">
        <f t="shared" si="0"/>
        <v>33037.684220440417</v>
      </c>
      <c r="C47" s="7">
        <f t="shared" si="1"/>
        <v>16583.999955934531</v>
      </c>
      <c r="D47" s="5">
        <f t="shared" si="2"/>
        <v>16453.684264505886</v>
      </c>
      <c r="E47" s="7">
        <f t="shared" si="3"/>
        <v>1973626.3104476379</v>
      </c>
    </row>
    <row r="48" spans="1:5" ht="15.75" customHeight="1">
      <c r="A48" s="2">
        <v>38</v>
      </c>
      <c r="B48" s="5">
        <f t="shared" si="0"/>
        <v>33037.684220440417</v>
      </c>
      <c r="C48" s="7">
        <f t="shared" si="1"/>
        <v>16446.885920396984</v>
      </c>
      <c r="D48" s="5">
        <f t="shared" si="2"/>
        <v>16590.798300043432</v>
      </c>
      <c r="E48" s="7">
        <f t="shared" si="3"/>
        <v>1957035.5121475945</v>
      </c>
    </row>
    <row r="49" spans="1:5" ht="15.75" customHeight="1">
      <c r="A49" s="2">
        <v>39</v>
      </c>
      <c r="B49" s="5">
        <f t="shared" si="0"/>
        <v>33037.684220440417</v>
      </c>
      <c r="C49" s="7">
        <f t="shared" si="1"/>
        <v>16308.62926789662</v>
      </c>
      <c r="D49" s="5">
        <f t="shared" si="2"/>
        <v>16729.054952543796</v>
      </c>
      <c r="E49" s="7">
        <f t="shared" si="3"/>
        <v>1940306.4571950508</v>
      </c>
    </row>
    <row r="50" spans="1:5" ht="15.75" customHeight="1">
      <c r="A50" s="2">
        <v>40</v>
      </c>
      <c r="B50" s="5">
        <f t="shared" si="0"/>
        <v>33037.684220440417</v>
      </c>
      <c r="C50" s="7">
        <f t="shared" si="1"/>
        <v>16169.220476625424</v>
      </c>
      <c r="D50" s="5">
        <f t="shared" si="2"/>
        <v>16868.463743814995</v>
      </c>
      <c r="E50" s="7">
        <f t="shared" si="3"/>
        <v>1923437.9934512358</v>
      </c>
    </row>
    <row r="51" spans="1:5" ht="15.75" customHeight="1">
      <c r="A51" s="2">
        <v>41</v>
      </c>
      <c r="B51" s="5">
        <f t="shared" si="0"/>
        <v>33037.684220440417</v>
      </c>
      <c r="C51" s="7">
        <f t="shared" si="1"/>
        <v>16028.649945426965</v>
      </c>
      <c r="D51" s="5">
        <f t="shared" si="2"/>
        <v>17009.034275013451</v>
      </c>
      <c r="E51" s="7">
        <f t="shared" si="3"/>
        <v>1906428.9591762223</v>
      </c>
    </row>
    <row r="52" spans="1:5" ht="15.75" customHeight="1">
      <c r="A52" s="2">
        <v>42</v>
      </c>
      <c r="B52" s="5">
        <f t="shared" si="0"/>
        <v>33037.684220440417</v>
      </c>
      <c r="C52" s="7">
        <f t="shared" si="1"/>
        <v>15886.907993135186</v>
      </c>
      <c r="D52" s="5">
        <f t="shared" si="2"/>
        <v>17150.776227305229</v>
      </c>
      <c r="E52" s="7">
        <f t="shared" si="3"/>
        <v>1889278.1829489172</v>
      </c>
    </row>
    <row r="53" spans="1:5" ht="15.75" customHeight="1">
      <c r="A53" s="2">
        <v>43</v>
      </c>
      <c r="B53" s="5">
        <f t="shared" si="0"/>
        <v>33037.684220440417</v>
      </c>
      <c r="C53" s="7">
        <f t="shared" si="1"/>
        <v>15743.984857907642</v>
      </c>
      <c r="D53" s="5">
        <f t="shared" si="2"/>
        <v>17293.699362532774</v>
      </c>
      <c r="E53" s="7">
        <f t="shared" si="3"/>
        <v>1871984.4835863844</v>
      </c>
    </row>
    <row r="54" spans="1:5" ht="15.75" customHeight="1">
      <c r="A54" s="2">
        <v>44</v>
      </c>
      <c r="B54" s="5">
        <f t="shared" si="0"/>
        <v>33037.684220440417</v>
      </c>
      <c r="C54" s="7">
        <f t="shared" si="1"/>
        <v>15599.870696553204</v>
      </c>
      <c r="D54" s="5">
        <f t="shared" si="2"/>
        <v>17437.813523887213</v>
      </c>
      <c r="E54" s="7">
        <f t="shared" si="3"/>
        <v>1854546.6700624973</v>
      </c>
    </row>
    <row r="55" spans="1:5" ht="15.75" customHeight="1">
      <c r="A55" s="2">
        <v>45</v>
      </c>
      <c r="B55" s="5">
        <f t="shared" si="0"/>
        <v>33037.684220440417</v>
      </c>
      <c r="C55" s="7">
        <f t="shared" si="1"/>
        <v>15454.555583854144</v>
      </c>
      <c r="D55" s="5">
        <f t="shared" si="2"/>
        <v>17583.128636586272</v>
      </c>
      <c r="E55" s="7">
        <f t="shared" si="3"/>
        <v>1836963.541425911</v>
      </c>
    </row>
    <row r="56" spans="1:5" ht="15.75" customHeight="1">
      <c r="A56" s="2">
        <v>46</v>
      </c>
      <c r="B56" s="5">
        <f t="shared" si="0"/>
        <v>33037.684220440417</v>
      </c>
      <c r="C56" s="7">
        <f t="shared" si="1"/>
        <v>15308.029511882591</v>
      </c>
      <c r="D56" s="5">
        <f t="shared" si="2"/>
        <v>17729.654708557828</v>
      </c>
      <c r="E56" s="7">
        <f t="shared" si="3"/>
        <v>1819233.8867173532</v>
      </c>
    </row>
    <row r="57" spans="1:5" ht="15.75" customHeight="1">
      <c r="A57" s="2">
        <v>47</v>
      </c>
      <c r="B57" s="5">
        <f t="shared" si="0"/>
        <v>33037.684220440417</v>
      </c>
      <c r="C57" s="7">
        <f t="shared" si="1"/>
        <v>15160.282389311276</v>
      </c>
      <c r="D57" s="5">
        <f t="shared" si="2"/>
        <v>17877.40183112914</v>
      </c>
      <c r="E57" s="7">
        <f t="shared" si="3"/>
        <v>1801356.4848862241</v>
      </c>
    </row>
    <row r="58" spans="1:5" ht="15.75" customHeight="1">
      <c r="A58" s="2">
        <v>48</v>
      </c>
      <c r="B58" s="5">
        <f t="shared" si="0"/>
        <v>33037.684220440417</v>
      </c>
      <c r="C58" s="7">
        <f t="shared" si="1"/>
        <v>15011.304040718534</v>
      </c>
      <c r="D58" s="5">
        <f t="shared" si="2"/>
        <v>18026.380179721884</v>
      </c>
      <c r="E58" s="7">
        <f t="shared" si="3"/>
        <v>1783330.1047065023</v>
      </c>
    </row>
    <row r="59" spans="1:5" ht="15.75" customHeight="1">
      <c r="A59" s="2">
        <v>49</v>
      </c>
      <c r="B59" s="5">
        <f t="shared" si="0"/>
        <v>33037.684220440417</v>
      </c>
      <c r="C59" s="7">
        <f t="shared" si="1"/>
        <v>14861.084205887519</v>
      </c>
      <c r="D59" s="5">
        <f t="shared" si="2"/>
        <v>18176.600014552896</v>
      </c>
      <c r="E59" s="7">
        <f t="shared" si="3"/>
        <v>1765153.5046919493</v>
      </c>
    </row>
    <row r="60" spans="1:5" ht="15.75" customHeight="1">
      <c r="A60" s="2">
        <v>50</v>
      </c>
      <c r="B60" s="5">
        <f t="shared" si="0"/>
        <v>33037.684220440417</v>
      </c>
      <c r="C60" s="7">
        <f t="shared" si="1"/>
        <v>14709.612539099578</v>
      </c>
      <c r="D60" s="5">
        <f t="shared" si="2"/>
        <v>18328.071681340836</v>
      </c>
      <c r="E60" s="7">
        <f t="shared" si="3"/>
        <v>1746825.4330106084</v>
      </c>
    </row>
    <row r="61" spans="1:5" ht="15.75" customHeight="1">
      <c r="A61" s="2">
        <v>51</v>
      </c>
      <c r="B61" s="5">
        <f t="shared" si="0"/>
        <v>33037.684220440417</v>
      </c>
      <c r="C61" s="7">
        <f t="shared" si="1"/>
        <v>14556.878608421737</v>
      </c>
      <c r="D61" s="5">
        <f t="shared" si="2"/>
        <v>18480.805612018681</v>
      </c>
      <c r="E61" s="7">
        <f t="shared" si="3"/>
        <v>1728344.6273985896</v>
      </c>
    </row>
    <row r="62" spans="1:5" ht="15.75" customHeight="1">
      <c r="A62" s="2">
        <v>52</v>
      </c>
      <c r="B62" s="5">
        <f t="shared" si="0"/>
        <v>33037.684220440417</v>
      </c>
      <c r="C62" s="7">
        <f t="shared" si="1"/>
        <v>14402.871894988246</v>
      </c>
      <c r="D62" s="5">
        <f t="shared" si="2"/>
        <v>18634.812325452171</v>
      </c>
      <c r="E62" s="7">
        <f t="shared" si="3"/>
        <v>1709709.8150731374</v>
      </c>
    </row>
    <row r="63" spans="1:5" ht="15.75" customHeight="1">
      <c r="A63" s="2">
        <v>53</v>
      </c>
      <c r="B63" s="5">
        <f t="shared" si="0"/>
        <v>33037.684220440417</v>
      </c>
      <c r="C63" s="7">
        <f t="shared" si="1"/>
        <v>14247.581792276145</v>
      </c>
      <c r="D63" s="5">
        <f t="shared" si="2"/>
        <v>18790.102428164271</v>
      </c>
      <c r="E63" s="7">
        <f t="shared" si="3"/>
        <v>1690919.7126449731</v>
      </c>
    </row>
    <row r="64" spans="1:5" ht="15.75" customHeight="1">
      <c r="A64" s="2">
        <v>54</v>
      </c>
      <c r="B64" s="5">
        <f t="shared" si="0"/>
        <v>33037.684220440417</v>
      </c>
      <c r="C64" s="7">
        <f t="shared" si="1"/>
        <v>14090.997605374776</v>
      </c>
      <c r="D64" s="5">
        <f t="shared" si="2"/>
        <v>18946.686615065642</v>
      </c>
      <c r="E64" s="7">
        <f t="shared" si="3"/>
        <v>1671973.0260299074</v>
      </c>
    </row>
    <row r="65" spans="1:5" ht="15.75" customHeight="1">
      <c r="A65" s="2">
        <v>55</v>
      </c>
      <c r="B65" s="5">
        <f t="shared" si="0"/>
        <v>33037.684220440417</v>
      </c>
      <c r="C65" s="7">
        <f t="shared" si="1"/>
        <v>13933.108550249228</v>
      </c>
      <c r="D65" s="5">
        <f t="shared" si="2"/>
        <v>19104.575670191189</v>
      </c>
      <c r="E65" s="7">
        <f t="shared" si="3"/>
        <v>1652868.4503597163</v>
      </c>
    </row>
    <row r="66" spans="1:5" ht="15.75" customHeight="1">
      <c r="A66" s="2">
        <v>56</v>
      </c>
      <c r="B66" s="5">
        <f t="shared" si="0"/>
        <v>33037.684220440417</v>
      </c>
      <c r="C66" s="7">
        <f t="shared" si="1"/>
        <v>13773.903752997636</v>
      </c>
      <c r="D66" s="5">
        <f t="shared" si="2"/>
        <v>19263.780467442783</v>
      </c>
      <c r="E66" s="7">
        <f t="shared" si="3"/>
        <v>1633604.6698922736</v>
      </c>
    </row>
    <row r="67" spans="1:5" ht="15.75" customHeight="1">
      <c r="A67" s="2">
        <v>57</v>
      </c>
      <c r="B67" s="5">
        <f t="shared" si="0"/>
        <v>33037.684220440417</v>
      </c>
      <c r="C67" s="7">
        <f t="shared" si="1"/>
        <v>13613.37224910228</v>
      </c>
      <c r="D67" s="5">
        <f t="shared" si="2"/>
        <v>19424.311971338138</v>
      </c>
      <c r="E67" s="7">
        <f t="shared" si="3"/>
        <v>1614180.3579209354</v>
      </c>
    </row>
    <row r="68" spans="1:5" ht="15.75" customHeight="1">
      <c r="A68" s="2">
        <v>58</v>
      </c>
      <c r="B68" s="5">
        <f t="shared" si="0"/>
        <v>33037.684220440417</v>
      </c>
      <c r="C68" s="7">
        <f t="shared" si="1"/>
        <v>13451.502982674461</v>
      </c>
      <c r="D68" s="5">
        <f t="shared" si="2"/>
        <v>19586.181237765955</v>
      </c>
      <c r="E68" s="7">
        <f t="shared" si="3"/>
        <v>1594594.1766831693</v>
      </c>
    </row>
    <row r="69" spans="1:5" ht="15.75" customHeight="1">
      <c r="A69" s="2">
        <v>59</v>
      </c>
      <c r="B69" s="5">
        <f t="shared" si="0"/>
        <v>33037.684220440417</v>
      </c>
      <c r="C69" s="7">
        <f t="shared" si="1"/>
        <v>13288.284805693078</v>
      </c>
      <c r="D69" s="5">
        <f t="shared" si="2"/>
        <v>19749.399414747339</v>
      </c>
      <c r="E69" s="7">
        <f t="shared" si="3"/>
        <v>1574844.7772684221</v>
      </c>
    </row>
    <row r="70" spans="1:5" ht="15.75" customHeight="1">
      <c r="A70" s="2">
        <v>60</v>
      </c>
      <c r="B70" s="5">
        <f t="shared" si="0"/>
        <v>33037.684220440417</v>
      </c>
      <c r="C70" s="7">
        <f t="shared" si="1"/>
        <v>13123.70647723685</v>
      </c>
      <c r="D70" s="5">
        <f t="shared" si="2"/>
        <v>19913.977743203566</v>
      </c>
      <c r="E70" s="7">
        <f t="shared" si="3"/>
        <v>1554930.7995252186</v>
      </c>
    </row>
    <row r="71" spans="1:5" ht="15.75" customHeight="1">
      <c r="A71" s="2">
        <v>61</v>
      </c>
      <c r="B71" s="5">
        <f t="shared" si="0"/>
        <v>33037.684220440417</v>
      </c>
      <c r="C71" s="7">
        <f t="shared" si="1"/>
        <v>12957.756662710155</v>
      </c>
      <c r="D71" s="5">
        <f t="shared" si="2"/>
        <v>20079.927557730261</v>
      </c>
      <c r="E71" s="7">
        <f t="shared" si="3"/>
        <v>1534850.8719674882</v>
      </c>
    </row>
    <row r="72" spans="1:5" ht="15.75" customHeight="1">
      <c r="A72" s="2">
        <v>62</v>
      </c>
      <c r="B72" s="5">
        <f t="shared" si="0"/>
        <v>33037.684220440417</v>
      </c>
      <c r="C72" s="7">
        <f t="shared" si="1"/>
        <v>12790.423933062402</v>
      </c>
      <c r="D72" s="5">
        <f t="shared" si="2"/>
        <v>20247.260287378012</v>
      </c>
      <c r="E72" s="7">
        <f t="shared" si="3"/>
        <v>1514603.6116801102</v>
      </c>
    </row>
    <row r="73" spans="1:5" ht="15.75" customHeight="1">
      <c r="A73" s="2">
        <v>63</v>
      </c>
      <c r="B73" s="5">
        <f t="shared" si="0"/>
        <v>33037.684220440417</v>
      </c>
      <c r="C73" s="7">
        <f t="shared" si="1"/>
        <v>12621.696764000919</v>
      </c>
      <c r="D73" s="5">
        <f t="shared" si="2"/>
        <v>20415.9874564395</v>
      </c>
      <c r="E73" s="7">
        <f t="shared" si="3"/>
        <v>1494187.6242236707</v>
      </c>
    </row>
    <row r="74" spans="1:5" ht="15.75" customHeight="1">
      <c r="A74" s="2">
        <v>64</v>
      </c>
      <c r="B74" s="5">
        <f t="shared" si="0"/>
        <v>33037.684220440417</v>
      </c>
      <c r="C74" s="7">
        <f t="shared" si="1"/>
        <v>12451.563535197256</v>
      </c>
      <c r="D74" s="5">
        <f t="shared" si="2"/>
        <v>20586.120685243161</v>
      </c>
      <c r="E74" s="7">
        <f t="shared" si="3"/>
        <v>1473601.5035384276</v>
      </c>
    </row>
    <row r="75" spans="1:5" ht="15.75" customHeight="1">
      <c r="A75" s="2">
        <v>65</v>
      </c>
      <c r="B75" s="5">
        <f t="shared" si="0"/>
        <v>33037.684220440417</v>
      </c>
      <c r="C75" s="7">
        <f t="shared" si="1"/>
        <v>12280.012529486898</v>
      </c>
      <c r="D75" s="5">
        <f t="shared" si="2"/>
        <v>20757.671690953517</v>
      </c>
      <c r="E75" s="7">
        <f t="shared" si="3"/>
        <v>1452843.8318474742</v>
      </c>
    </row>
    <row r="76" spans="1:5" ht="15.75" customHeight="1">
      <c r="A76" s="2">
        <v>66</v>
      </c>
      <c r="B76" s="5">
        <f t="shared" si="0"/>
        <v>33037.684220440417</v>
      </c>
      <c r="C76" s="7">
        <f t="shared" si="1"/>
        <v>12107.031932062286</v>
      </c>
      <c r="D76" s="5">
        <f t="shared" si="2"/>
        <v>20930.652288378129</v>
      </c>
      <c r="E76" s="7">
        <f t="shared" si="3"/>
        <v>1431913.179559096</v>
      </c>
    </row>
    <row r="77" spans="1:5" ht="15.75" customHeight="1">
      <c r="A77" s="2">
        <v>67</v>
      </c>
      <c r="B77" s="5">
        <f t="shared" ref="B77:B130" si="4">$B$8</f>
        <v>33037.684220440417</v>
      </c>
      <c r="C77" s="7">
        <f t="shared" ref="C77:C130" si="5">E76*$B$5</f>
        <v>11932.609829659134</v>
      </c>
      <c r="D77" s="5">
        <f t="shared" ref="D77:D130" si="6">B77-C77</f>
        <v>21105.074390781283</v>
      </c>
      <c r="E77" s="7">
        <f t="shared" ref="E77:E130" si="7">E76-D77</f>
        <v>1410808.1051683147</v>
      </c>
    </row>
    <row r="78" spans="1:5" ht="15.75" customHeight="1">
      <c r="A78" s="2">
        <v>68</v>
      </c>
      <c r="B78" s="5">
        <f t="shared" si="4"/>
        <v>33037.684220440417</v>
      </c>
      <c r="C78" s="7">
        <f t="shared" si="5"/>
        <v>11756.734209735956</v>
      </c>
      <c r="D78" s="5">
        <f t="shared" si="6"/>
        <v>21280.950010704459</v>
      </c>
      <c r="E78" s="7">
        <f t="shared" si="7"/>
        <v>1389527.1551576103</v>
      </c>
    </row>
    <row r="79" spans="1:5" ht="15.75" customHeight="1">
      <c r="A79" s="2">
        <v>69</v>
      </c>
      <c r="B79" s="5">
        <f t="shared" si="4"/>
        <v>33037.684220440417</v>
      </c>
      <c r="C79" s="7">
        <f t="shared" si="5"/>
        <v>11579.392959646753</v>
      </c>
      <c r="D79" s="5">
        <f t="shared" si="6"/>
        <v>21458.291260793663</v>
      </c>
      <c r="E79" s="7">
        <f t="shared" si="7"/>
        <v>1368068.8638968167</v>
      </c>
    </row>
    <row r="80" spans="1:5" ht="15.75" customHeight="1">
      <c r="A80" s="2">
        <v>70</v>
      </c>
      <c r="B80" s="5">
        <f t="shared" si="4"/>
        <v>33037.684220440417</v>
      </c>
      <c r="C80" s="7">
        <f t="shared" si="5"/>
        <v>11400.573865806806</v>
      </c>
      <c r="D80" s="5">
        <f t="shared" si="6"/>
        <v>21637.110354633609</v>
      </c>
      <c r="E80" s="7">
        <f t="shared" si="7"/>
        <v>1346431.7535421832</v>
      </c>
    </row>
    <row r="81" spans="1:5" ht="15.75" customHeight="1">
      <c r="A81" s="2">
        <v>71</v>
      </c>
      <c r="B81" s="5">
        <f t="shared" si="4"/>
        <v>33037.684220440417</v>
      </c>
      <c r="C81" s="7">
        <f t="shared" si="5"/>
        <v>11220.264612851526</v>
      </c>
      <c r="D81" s="5">
        <f t="shared" si="6"/>
        <v>21817.41960758889</v>
      </c>
      <c r="E81" s="7">
        <f t="shared" si="7"/>
        <v>1324614.3339345944</v>
      </c>
    </row>
    <row r="82" spans="1:5" ht="15.75" customHeight="1">
      <c r="A82" s="2">
        <v>72</v>
      </c>
      <c r="B82" s="5">
        <f t="shared" si="4"/>
        <v>33037.684220440417</v>
      </c>
      <c r="C82" s="7">
        <f t="shared" si="5"/>
        <v>11038.452782788287</v>
      </c>
      <c r="D82" s="5">
        <f t="shared" si="6"/>
        <v>21999.231437652132</v>
      </c>
      <c r="E82" s="7">
        <f t="shared" si="7"/>
        <v>1302615.1024969423</v>
      </c>
    </row>
    <row r="83" spans="1:5" ht="15.75" customHeight="1">
      <c r="A83" s="2">
        <v>73</v>
      </c>
      <c r="B83" s="5">
        <f t="shared" si="4"/>
        <v>33037.684220440417</v>
      </c>
      <c r="C83" s="7">
        <f t="shared" si="5"/>
        <v>10855.125854141186</v>
      </c>
      <c r="D83" s="5">
        <f t="shared" si="6"/>
        <v>22182.558366299229</v>
      </c>
      <c r="E83" s="7">
        <f t="shared" si="7"/>
        <v>1280432.5441306431</v>
      </c>
    </row>
    <row r="84" spans="1:5" ht="15.75" customHeight="1">
      <c r="A84" s="2">
        <v>74</v>
      </c>
      <c r="B84" s="5">
        <f t="shared" si="4"/>
        <v>33037.684220440417</v>
      </c>
      <c r="C84" s="7">
        <f t="shared" si="5"/>
        <v>10670.271201088693</v>
      </c>
      <c r="D84" s="5">
        <f t="shared" si="6"/>
        <v>22367.413019351723</v>
      </c>
      <c r="E84" s="7">
        <f t="shared" si="7"/>
        <v>1258065.1311112915</v>
      </c>
    </row>
    <row r="85" spans="1:5" ht="15.75" customHeight="1">
      <c r="A85" s="2">
        <v>75</v>
      </c>
      <c r="B85" s="5">
        <f t="shared" si="4"/>
        <v>33037.684220440417</v>
      </c>
      <c r="C85" s="7">
        <f t="shared" si="5"/>
        <v>10483.876092594095</v>
      </c>
      <c r="D85" s="5">
        <f t="shared" si="6"/>
        <v>22553.808127846321</v>
      </c>
      <c r="E85" s="7">
        <f t="shared" si="7"/>
        <v>1235511.3229834451</v>
      </c>
    </row>
    <row r="86" spans="1:5" ht="15.75" customHeight="1">
      <c r="A86" s="2">
        <v>76</v>
      </c>
      <c r="B86" s="5">
        <f t="shared" si="4"/>
        <v>33037.684220440417</v>
      </c>
      <c r="C86" s="7">
        <f t="shared" si="5"/>
        <v>10295.92769152871</v>
      </c>
      <c r="D86" s="5">
        <f t="shared" si="6"/>
        <v>22741.756528911705</v>
      </c>
      <c r="E86" s="7">
        <f t="shared" si="7"/>
        <v>1212769.5664545335</v>
      </c>
    </row>
    <row r="87" spans="1:5" ht="15.75" customHeight="1">
      <c r="A87" s="2">
        <v>77</v>
      </c>
      <c r="B87" s="5">
        <f t="shared" si="4"/>
        <v>33037.684220440417</v>
      </c>
      <c r="C87" s="7">
        <f t="shared" si="5"/>
        <v>10106.413053787779</v>
      </c>
      <c r="D87" s="5">
        <f t="shared" si="6"/>
        <v>22931.271166652637</v>
      </c>
      <c r="E87" s="7">
        <f t="shared" si="7"/>
        <v>1189838.2952878808</v>
      </c>
    </row>
    <row r="88" spans="1:5" ht="15.75" customHeight="1">
      <c r="A88" s="2">
        <v>78</v>
      </c>
      <c r="B88" s="5">
        <f t="shared" si="4"/>
        <v>33037.684220440417</v>
      </c>
      <c r="C88" s="7">
        <f t="shared" si="5"/>
        <v>9915.3191273990069</v>
      </c>
      <c r="D88" s="5">
        <f t="shared" si="6"/>
        <v>23122.365093041408</v>
      </c>
      <c r="E88" s="7">
        <f t="shared" si="7"/>
        <v>1166715.9301948394</v>
      </c>
    </row>
    <row r="89" spans="1:5" ht="15.75" customHeight="1">
      <c r="A89" s="2">
        <v>79</v>
      </c>
      <c r="B89" s="5">
        <f t="shared" si="4"/>
        <v>33037.684220440417</v>
      </c>
      <c r="C89" s="7">
        <f t="shared" si="5"/>
        <v>9722.6327516236615</v>
      </c>
      <c r="D89" s="5">
        <f t="shared" si="6"/>
        <v>23315.051468816753</v>
      </c>
      <c r="E89" s="7">
        <f t="shared" si="7"/>
        <v>1143400.8787260226</v>
      </c>
    </row>
    <row r="90" spans="1:5" ht="15.75" customHeight="1">
      <c r="A90" s="2">
        <v>80</v>
      </c>
      <c r="B90" s="5">
        <f t="shared" si="4"/>
        <v>33037.684220440417</v>
      </c>
      <c r="C90" s="7">
        <f t="shared" si="5"/>
        <v>9528.340656050188</v>
      </c>
      <c r="D90" s="5">
        <f t="shared" si="6"/>
        <v>23509.343564390227</v>
      </c>
      <c r="E90" s="7">
        <f t="shared" si="7"/>
        <v>1119891.5351616323</v>
      </c>
    </row>
    <row r="91" spans="1:5" ht="15.75" customHeight="1">
      <c r="A91" s="2">
        <v>81</v>
      </c>
      <c r="B91" s="5">
        <f t="shared" si="4"/>
        <v>33037.684220440417</v>
      </c>
      <c r="C91" s="7">
        <f t="shared" si="5"/>
        <v>9332.4294596802702</v>
      </c>
      <c r="D91" s="5">
        <f t="shared" si="6"/>
        <v>23705.254760760145</v>
      </c>
      <c r="E91" s="7">
        <f t="shared" si="7"/>
        <v>1096186.2804008722</v>
      </c>
    </row>
    <row r="92" spans="1:5" ht="15.75" customHeight="1">
      <c r="A92" s="2">
        <v>82</v>
      </c>
      <c r="B92" s="5">
        <f t="shared" si="4"/>
        <v>33037.684220440417</v>
      </c>
      <c r="C92" s="7">
        <f t="shared" si="5"/>
        <v>9134.8856700072683</v>
      </c>
      <c r="D92" s="5">
        <f t="shared" si="6"/>
        <v>23902.798550433148</v>
      </c>
      <c r="E92" s="7">
        <f t="shared" si="7"/>
        <v>1072283.481850439</v>
      </c>
    </row>
    <row r="93" spans="1:5" ht="15.75" customHeight="1">
      <c r="A93" s="2">
        <v>83</v>
      </c>
      <c r="B93" s="5">
        <f t="shared" si="4"/>
        <v>33037.684220440417</v>
      </c>
      <c r="C93" s="7">
        <f t="shared" si="5"/>
        <v>8935.6956820869909</v>
      </c>
      <c r="D93" s="5">
        <f t="shared" si="6"/>
        <v>24101.988538353427</v>
      </c>
      <c r="E93" s="7">
        <f t="shared" si="7"/>
        <v>1048181.4933120855</v>
      </c>
    </row>
    <row r="94" spans="1:5" ht="15.75" customHeight="1">
      <c r="A94" s="2">
        <v>84</v>
      </c>
      <c r="B94" s="5">
        <f t="shared" si="4"/>
        <v>33037.684220440417</v>
      </c>
      <c r="C94" s="7">
        <f t="shared" si="5"/>
        <v>8734.8457776007126</v>
      </c>
      <c r="D94" s="5">
        <f t="shared" si="6"/>
        <v>24302.838442839704</v>
      </c>
      <c r="E94" s="7">
        <f t="shared" si="7"/>
        <v>1023878.6548692458</v>
      </c>
    </row>
    <row r="95" spans="1:5" ht="15.75" customHeight="1">
      <c r="A95" s="2">
        <v>85</v>
      </c>
      <c r="B95" s="5">
        <f t="shared" si="4"/>
        <v>33037.684220440417</v>
      </c>
      <c r="C95" s="7">
        <f t="shared" si="5"/>
        <v>8532.3221239103823</v>
      </c>
      <c r="D95" s="5">
        <f t="shared" si="6"/>
        <v>24505.362096530036</v>
      </c>
      <c r="E95" s="7">
        <f t="shared" si="7"/>
        <v>999373.29277271579</v>
      </c>
    </row>
    <row r="96" spans="1:5" ht="15.75" customHeight="1">
      <c r="A96" s="2">
        <v>86</v>
      </c>
      <c r="B96" s="5">
        <f t="shared" si="4"/>
        <v>33037.684220440417</v>
      </c>
      <c r="C96" s="7">
        <f t="shared" si="5"/>
        <v>8328.1107731059656</v>
      </c>
      <c r="D96" s="5">
        <f t="shared" si="6"/>
        <v>24709.573447334449</v>
      </c>
      <c r="E96" s="7">
        <f t="shared" si="7"/>
        <v>974663.71932538133</v>
      </c>
    </row>
    <row r="97" spans="1:5" ht="15.75" customHeight="1">
      <c r="A97" s="2">
        <v>87</v>
      </c>
      <c r="B97" s="5">
        <f t="shared" si="4"/>
        <v>33037.684220440417</v>
      </c>
      <c r="C97" s="7">
        <f t="shared" si="5"/>
        <v>8122.1976610448446</v>
      </c>
      <c r="D97" s="5">
        <f t="shared" si="6"/>
        <v>24915.486559395573</v>
      </c>
      <c r="E97" s="7">
        <f t="shared" si="7"/>
        <v>949748.23276598577</v>
      </c>
    </row>
    <row r="98" spans="1:5" ht="15.75" customHeight="1">
      <c r="A98" s="2">
        <v>88</v>
      </c>
      <c r="B98" s="5">
        <f t="shared" si="4"/>
        <v>33037.684220440417</v>
      </c>
      <c r="C98" s="7">
        <f t="shared" si="5"/>
        <v>7914.5686063832145</v>
      </c>
      <c r="D98" s="5">
        <f t="shared" si="6"/>
        <v>25123.115614057202</v>
      </c>
      <c r="E98" s="7">
        <f t="shared" si="7"/>
        <v>924625.1171519286</v>
      </c>
    </row>
    <row r="99" spans="1:5" ht="15.75" customHeight="1">
      <c r="A99" s="2">
        <v>89</v>
      </c>
      <c r="B99" s="5">
        <f t="shared" si="4"/>
        <v>33037.684220440417</v>
      </c>
      <c r="C99" s="7">
        <f t="shared" si="5"/>
        <v>7705.2093095994051</v>
      </c>
      <c r="D99" s="5">
        <f t="shared" si="6"/>
        <v>25332.474910841011</v>
      </c>
      <c r="E99" s="7">
        <f t="shared" si="7"/>
        <v>899292.64224108763</v>
      </c>
    </row>
    <row r="100" spans="1:5" ht="15.75" customHeight="1">
      <c r="A100" s="2">
        <v>90</v>
      </c>
      <c r="B100" s="5">
        <f t="shared" si="4"/>
        <v>33037.684220440417</v>
      </c>
      <c r="C100" s="7">
        <f t="shared" si="5"/>
        <v>7494.1053520090636</v>
      </c>
      <c r="D100" s="5">
        <f t="shared" si="6"/>
        <v>25543.578868431352</v>
      </c>
      <c r="E100" s="7">
        <f t="shared" si="7"/>
        <v>873749.06337265624</v>
      </c>
    </row>
    <row r="101" spans="1:5" ht="15.75" customHeight="1">
      <c r="A101" s="2">
        <v>91</v>
      </c>
      <c r="B101" s="5">
        <f t="shared" si="4"/>
        <v>33037.684220440417</v>
      </c>
      <c r="C101" s="7">
        <f t="shared" si="5"/>
        <v>7281.242194772135</v>
      </c>
      <c r="D101" s="5">
        <f t="shared" si="6"/>
        <v>25756.442025668282</v>
      </c>
      <c r="E101" s="7">
        <f t="shared" si="7"/>
        <v>847992.6213469879</v>
      </c>
    </row>
    <row r="102" spans="1:5" ht="15.75" customHeight="1">
      <c r="A102" s="2">
        <v>92</v>
      </c>
      <c r="B102" s="5">
        <f t="shared" si="4"/>
        <v>33037.684220440417</v>
      </c>
      <c r="C102" s="7">
        <f t="shared" si="5"/>
        <v>7066.6051778915653</v>
      </c>
      <c r="D102" s="5">
        <f t="shared" si="6"/>
        <v>25971.079042548852</v>
      </c>
      <c r="E102" s="7">
        <f t="shared" si="7"/>
        <v>822021.542304439</v>
      </c>
    </row>
    <row r="103" spans="1:5" ht="15.75" customHeight="1">
      <c r="A103" s="2">
        <v>93</v>
      </c>
      <c r="B103" s="5">
        <f t="shared" si="4"/>
        <v>33037.684220440417</v>
      </c>
      <c r="C103" s="7">
        <f t="shared" si="5"/>
        <v>6850.1795192036579</v>
      </c>
      <c r="D103" s="5">
        <f t="shared" si="6"/>
        <v>26187.504701236758</v>
      </c>
      <c r="E103" s="7">
        <f t="shared" si="7"/>
        <v>795834.03760320228</v>
      </c>
    </row>
    <row r="104" spans="1:5" ht="15.75" customHeight="1">
      <c r="A104" s="2">
        <v>94</v>
      </c>
      <c r="B104" s="5">
        <f t="shared" si="4"/>
        <v>33037.684220440417</v>
      </c>
      <c r="C104" s="7">
        <f t="shared" si="5"/>
        <v>6631.9503133600192</v>
      </c>
      <c r="D104" s="5">
        <f t="shared" si="6"/>
        <v>26405.733907080397</v>
      </c>
      <c r="E104" s="7">
        <f t="shared" si="7"/>
        <v>769428.3036961219</v>
      </c>
    </row>
    <row r="105" spans="1:5" ht="15.75" customHeight="1">
      <c r="A105" s="2">
        <v>95</v>
      </c>
      <c r="B105" s="5">
        <f t="shared" si="4"/>
        <v>33037.684220440417</v>
      </c>
      <c r="C105" s="7">
        <f t="shared" si="5"/>
        <v>6411.9025308010159</v>
      </c>
      <c r="D105" s="5">
        <f t="shared" si="6"/>
        <v>26625.7816896394</v>
      </c>
      <c r="E105" s="7">
        <f t="shared" si="7"/>
        <v>742802.52200648247</v>
      </c>
    </row>
    <row r="106" spans="1:5" ht="15.75" customHeight="1">
      <c r="A106" s="2">
        <v>96</v>
      </c>
      <c r="B106" s="5">
        <f t="shared" si="4"/>
        <v>33037.684220440417</v>
      </c>
      <c r="C106" s="7">
        <f t="shared" si="5"/>
        <v>6190.0210167206869</v>
      </c>
      <c r="D106" s="5">
        <f t="shared" si="6"/>
        <v>26847.663203719731</v>
      </c>
      <c r="E106" s="7">
        <f t="shared" si="7"/>
        <v>715954.8588027627</v>
      </c>
    </row>
    <row r="107" spans="1:5" ht="15.75" customHeight="1">
      <c r="A107" s="2">
        <v>97</v>
      </c>
      <c r="B107" s="5">
        <f t="shared" si="4"/>
        <v>33037.684220440417</v>
      </c>
      <c r="C107" s="7">
        <f t="shared" si="5"/>
        <v>5966.2904900230224</v>
      </c>
      <c r="D107" s="5">
        <f t="shared" si="6"/>
        <v>27071.393730417396</v>
      </c>
      <c r="E107" s="7">
        <f t="shared" si="7"/>
        <v>688883.46507234534</v>
      </c>
    </row>
    <row r="108" spans="1:5" ht="15.75" customHeight="1">
      <c r="A108" s="2">
        <v>98</v>
      </c>
      <c r="B108" s="5">
        <f t="shared" si="4"/>
        <v>33037.684220440417</v>
      </c>
      <c r="C108" s="7">
        <f t="shared" si="5"/>
        <v>5740.6955422695446</v>
      </c>
      <c r="D108" s="5">
        <f t="shared" si="6"/>
        <v>27296.98867817087</v>
      </c>
      <c r="E108" s="7">
        <f t="shared" si="7"/>
        <v>661586.4763941745</v>
      </c>
    </row>
    <row r="109" spans="1:5" ht="15.75" customHeight="1">
      <c r="A109" s="2">
        <v>99</v>
      </c>
      <c r="B109" s="5">
        <f t="shared" si="4"/>
        <v>33037.684220440417</v>
      </c>
      <c r="C109" s="7">
        <f t="shared" si="5"/>
        <v>5513.2206366181208</v>
      </c>
      <c r="D109" s="5">
        <f t="shared" si="6"/>
        <v>27524.463583822297</v>
      </c>
      <c r="E109" s="7">
        <f t="shared" si="7"/>
        <v>634062.01281035226</v>
      </c>
    </row>
    <row r="110" spans="1:5" ht="15.75" customHeight="1">
      <c r="A110" s="2">
        <v>100</v>
      </c>
      <c r="B110" s="5">
        <f t="shared" si="4"/>
        <v>33037.684220440417</v>
      </c>
      <c r="C110" s="7">
        <f t="shared" si="5"/>
        <v>5283.8501067529351</v>
      </c>
      <c r="D110" s="5">
        <f t="shared" si="6"/>
        <v>27753.834113687481</v>
      </c>
      <c r="E110" s="7">
        <f t="shared" si="7"/>
        <v>606308.17869666475</v>
      </c>
    </row>
    <row r="111" spans="1:5" ht="15.75" customHeight="1">
      <c r="A111" s="2">
        <v>101</v>
      </c>
      <c r="B111" s="5">
        <f t="shared" si="4"/>
        <v>33037.684220440417</v>
      </c>
      <c r="C111" s="7">
        <f t="shared" si="5"/>
        <v>5052.5681558055394</v>
      </c>
      <c r="D111" s="5">
        <f t="shared" si="6"/>
        <v>27985.116064634876</v>
      </c>
      <c r="E111" s="7">
        <f t="shared" si="7"/>
        <v>578323.06263202988</v>
      </c>
    </row>
    <row r="112" spans="1:5" ht="15.75" customHeight="1">
      <c r="A112" s="2">
        <v>102</v>
      </c>
      <c r="B112" s="5">
        <f t="shared" si="4"/>
        <v>33037.684220440417</v>
      </c>
      <c r="C112" s="7">
        <f t="shared" si="5"/>
        <v>4819.3588552669153</v>
      </c>
      <c r="D112" s="5">
        <f t="shared" si="6"/>
        <v>28218.325365173499</v>
      </c>
      <c r="E112" s="7">
        <f t="shared" si="7"/>
        <v>550104.73726685636</v>
      </c>
    </row>
    <row r="113" spans="1:5" ht="15.75" customHeight="1">
      <c r="A113" s="2">
        <v>103</v>
      </c>
      <c r="B113" s="5">
        <f t="shared" si="4"/>
        <v>33037.684220440417</v>
      </c>
      <c r="C113" s="7">
        <f t="shared" si="5"/>
        <v>4584.2061438904693</v>
      </c>
      <c r="D113" s="5">
        <f t="shared" si="6"/>
        <v>28453.478076549945</v>
      </c>
      <c r="E113" s="7">
        <f t="shared" si="7"/>
        <v>521651.25919030642</v>
      </c>
    </row>
    <row r="114" spans="1:5" ht="15.75" customHeight="1">
      <c r="A114" s="2">
        <v>104</v>
      </c>
      <c r="B114" s="5">
        <f t="shared" si="4"/>
        <v>33037.684220440417</v>
      </c>
      <c r="C114" s="7">
        <f t="shared" si="5"/>
        <v>4347.0938265858867</v>
      </c>
      <c r="D114" s="5">
        <f t="shared" si="6"/>
        <v>28690.590393854531</v>
      </c>
      <c r="E114" s="7">
        <f t="shared" si="7"/>
        <v>492960.66879645188</v>
      </c>
    </row>
    <row r="115" spans="1:5" ht="15.75" customHeight="1">
      <c r="A115" s="2">
        <v>105</v>
      </c>
      <c r="B115" s="5">
        <f t="shared" si="4"/>
        <v>33037.684220440417</v>
      </c>
      <c r="C115" s="7">
        <f t="shared" si="5"/>
        <v>4108.0055733037652</v>
      </c>
      <c r="D115" s="5">
        <f t="shared" si="6"/>
        <v>28929.67864713665</v>
      </c>
      <c r="E115" s="7">
        <f t="shared" si="7"/>
        <v>464030.99014931521</v>
      </c>
    </row>
    <row r="116" spans="1:5" ht="15.75" customHeight="1">
      <c r="A116" s="2">
        <v>106</v>
      </c>
      <c r="B116" s="5">
        <f t="shared" si="4"/>
        <v>33037.684220440417</v>
      </c>
      <c r="C116" s="7">
        <f t="shared" si="5"/>
        <v>3866.9249179109602</v>
      </c>
      <c r="D116" s="5">
        <f t="shared" si="6"/>
        <v>29170.759302529455</v>
      </c>
      <c r="E116" s="7">
        <f t="shared" si="7"/>
        <v>434860.23084678577</v>
      </c>
    </row>
    <row r="117" spans="1:5" ht="15.75" customHeight="1">
      <c r="A117" s="2">
        <v>107</v>
      </c>
      <c r="B117" s="5">
        <f t="shared" si="4"/>
        <v>33037.684220440417</v>
      </c>
      <c r="C117" s="7">
        <f t="shared" si="5"/>
        <v>3623.835257056548</v>
      </c>
      <c r="D117" s="5">
        <f t="shared" si="6"/>
        <v>29413.848963383869</v>
      </c>
      <c r="E117" s="7">
        <f t="shared" si="7"/>
        <v>405446.38188340189</v>
      </c>
    </row>
    <row r="118" spans="1:5" ht="15.75" customHeight="1">
      <c r="A118" s="2">
        <v>108</v>
      </c>
      <c r="B118" s="5">
        <f t="shared" si="4"/>
        <v>33037.684220440417</v>
      </c>
      <c r="C118" s="7">
        <f t="shared" si="5"/>
        <v>3378.719849028349</v>
      </c>
      <c r="D118" s="5">
        <f t="shared" si="6"/>
        <v>29658.964371412068</v>
      </c>
      <c r="E118" s="7">
        <f t="shared" si="7"/>
        <v>375787.41751198983</v>
      </c>
    </row>
    <row r="119" spans="1:5" ht="15.75" customHeight="1">
      <c r="A119" s="2">
        <v>109</v>
      </c>
      <c r="B119" s="5">
        <f t="shared" si="4"/>
        <v>33037.684220440417</v>
      </c>
      <c r="C119" s="7">
        <f t="shared" si="5"/>
        <v>3131.5618125999154</v>
      </c>
      <c r="D119" s="5">
        <f t="shared" si="6"/>
        <v>29906.122407840499</v>
      </c>
      <c r="E119" s="7">
        <f t="shared" si="7"/>
        <v>345881.29510414932</v>
      </c>
    </row>
    <row r="120" spans="1:5" ht="15.75" customHeight="1">
      <c r="A120" s="2">
        <v>110</v>
      </c>
      <c r="B120" s="5">
        <f t="shared" si="4"/>
        <v>33037.684220440417</v>
      </c>
      <c r="C120" s="7">
        <f t="shared" si="5"/>
        <v>2882.3441258679109</v>
      </c>
      <c r="D120" s="5">
        <f t="shared" si="6"/>
        <v>30155.340094572504</v>
      </c>
      <c r="E120" s="7">
        <f t="shared" si="7"/>
        <v>315725.95500957681</v>
      </c>
    </row>
    <row r="121" spans="1:5" ht="15.75" customHeight="1">
      <c r="A121" s="2">
        <v>111</v>
      </c>
      <c r="B121" s="5">
        <f t="shared" si="4"/>
        <v>33037.684220440417</v>
      </c>
      <c r="C121" s="7">
        <f t="shared" si="5"/>
        <v>2631.0496250798069</v>
      </c>
      <c r="D121" s="5">
        <f t="shared" si="6"/>
        <v>30406.634595360611</v>
      </c>
      <c r="E121" s="7">
        <f t="shared" si="7"/>
        <v>285319.3204142162</v>
      </c>
    </row>
    <row r="122" spans="1:5" ht="15.75" customHeight="1">
      <c r="A122" s="2">
        <v>112</v>
      </c>
      <c r="B122" s="5">
        <f t="shared" si="4"/>
        <v>33037.684220440417</v>
      </c>
      <c r="C122" s="7">
        <f t="shared" si="5"/>
        <v>2377.6610034518017</v>
      </c>
      <c r="D122" s="5">
        <f t="shared" si="6"/>
        <v>30660.023216988615</v>
      </c>
      <c r="E122" s="7">
        <f t="shared" si="7"/>
        <v>254659.2971972276</v>
      </c>
    </row>
    <row r="123" spans="1:5" ht="15.75" customHeight="1">
      <c r="A123" s="2">
        <v>113</v>
      </c>
      <c r="B123" s="5">
        <f t="shared" si="4"/>
        <v>33037.684220440417</v>
      </c>
      <c r="C123" s="7">
        <f t="shared" si="5"/>
        <v>2122.1608099768964</v>
      </c>
      <c r="D123" s="5">
        <f t="shared" si="6"/>
        <v>30915.52341046352</v>
      </c>
      <c r="E123" s="7">
        <f t="shared" si="7"/>
        <v>223743.77378676407</v>
      </c>
    </row>
    <row r="124" spans="1:5" ht="15.75" customHeight="1">
      <c r="A124" s="2">
        <v>114</v>
      </c>
      <c r="B124" s="5">
        <f t="shared" si="4"/>
        <v>33037.684220440417</v>
      </c>
      <c r="C124" s="7">
        <f t="shared" si="5"/>
        <v>1864.531448223034</v>
      </c>
      <c r="D124" s="5">
        <f t="shared" si="6"/>
        <v>31173.152772217381</v>
      </c>
      <c r="E124" s="7">
        <f t="shared" si="7"/>
        <v>192570.62101454669</v>
      </c>
    </row>
    <row r="125" spans="1:5" ht="15.75" customHeight="1">
      <c r="A125" s="2">
        <v>115</v>
      </c>
      <c r="B125" s="5">
        <f t="shared" si="4"/>
        <v>33037.684220440417</v>
      </c>
      <c r="C125" s="7">
        <f t="shared" si="5"/>
        <v>1604.7551751212225</v>
      </c>
      <c r="D125" s="5">
        <f t="shared" si="6"/>
        <v>31432.929045319193</v>
      </c>
      <c r="E125" s="7">
        <f t="shared" si="7"/>
        <v>161137.69196922751</v>
      </c>
    </row>
    <row r="126" spans="1:5" ht="15.75" customHeight="1">
      <c r="A126" s="2">
        <v>116</v>
      </c>
      <c r="B126" s="5">
        <f t="shared" si="4"/>
        <v>33037.684220440417</v>
      </c>
      <c r="C126" s="7">
        <f t="shared" si="5"/>
        <v>1342.8140997435626</v>
      </c>
      <c r="D126" s="5">
        <f t="shared" si="6"/>
        <v>31694.870120696854</v>
      </c>
      <c r="E126" s="7">
        <f t="shared" si="7"/>
        <v>129442.82184853066</v>
      </c>
    </row>
    <row r="127" spans="1:5" ht="15.75" customHeight="1">
      <c r="A127" s="2">
        <v>117</v>
      </c>
      <c r="B127" s="5">
        <f t="shared" si="4"/>
        <v>33037.684220440417</v>
      </c>
      <c r="C127" s="7">
        <f t="shared" si="5"/>
        <v>1078.6901820710889</v>
      </c>
      <c r="D127" s="5">
        <f t="shared" si="6"/>
        <v>31958.994038369328</v>
      </c>
      <c r="E127" s="7">
        <f t="shared" si="7"/>
        <v>97483.827810161325</v>
      </c>
    </row>
    <row r="128" spans="1:5" ht="15.75" customHeight="1">
      <c r="A128" s="2">
        <v>118</v>
      </c>
      <c r="B128" s="5">
        <f t="shared" si="4"/>
        <v>33037.684220440417</v>
      </c>
      <c r="C128" s="7">
        <f t="shared" si="5"/>
        <v>812.36523175134437</v>
      </c>
      <c r="D128" s="5">
        <f t="shared" si="6"/>
        <v>32225.318988689072</v>
      </c>
      <c r="E128" s="7">
        <f t="shared" si="7"/>
        <v>65258.508821472249</v>
      </c>
    </row>
    <row r="129" spans="1:5" ht="15.75" customHeight="1">
      <c r="A129" s="2">
        <v>119</v>
      </c>
      <c r="B129" s="5">
        <f t="shared" si="4"/>
        <v>33037.684220440417</v>
      </c>
      <c r="C129" s="7">
        <f t="shared" si="5"/>
        <v>543.82090684560205</v>
      </c>
      <c r="D129" s="5">
        <f t="shared" si="6"/>
        <v>32493.863313594815</v>
      </c>
      <c r="E129" s="7">
        <f t="shared" si="7"/>
        <v>32764.645507877434</v>
      </c>
    </row>
    <row r="130" spans="1:5" ht="15.75" customHeight="1">
      <c r="A130" s="2">
        <v>120</v>
      </c>
      <c r="B130" s="5">
        <f t="shared" si="4"/>
        <v>33037.684220440417</v>
      </c>
      <c r="C130" s="7">
        <f t="shared" si="5"/>
        <v>273.03871256564526</v>
      </c>
      <c r="D130" s="5">
        <f t="shared" si="6"/>
        <v>32764.645507874771</v>
      </c>
      <c r="E130" s="7">
        <f t="shared" si="7"/>
        <v>2.6630004867911339E-9</v>
      </c>
    </row>
  </sheetData>
  <mergeCells count="8">
    <mergeCell ref="A1:F1"/>
    <mergeCell ref="K2:N2"/>
    <mergeCell ref="K3:N3"/>
    <mergeCell ref="K4:N4"/>
    <mergeCell ref="K5:N5"/>
    <mergeCell ref="K6:N6"/>
    <mergeCell ref="K7:N7"/>
    <mergeCell ref="K8:N8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"/>
  <sheetViews>
    <sheetView tabSelected="1" zoomScaleNormal="100" workbookViewId="0">
      <selection activeCell="J12" sqref="J12"/>
    </sheetView>
  </sheetViews>
  <sheetFormatPr defaultColWidth="14.44140625" defaultRowHeight="15" customHeight="1"/>
  <cols>
    <col min="1" max="1" width="8.6640625" customWidth="1"/>
    <col min="2" max="4" width="12.44140625" customWidth="1"/>
    <col min="5" max="5" width="10.44140625" customWidth="1"/>
    <col min="6" max="9" width="14.109375" customWidth="1"/>
    <col min="10" max="10" width="10.44140625" customWidth="1"/>
    <col min="11" max="11" width="8.6640625" customWidth="1"/>
  </cols>
  <sheetData>
    <row r="1" spans="1:10" ht="25.8">
      <c r="A1" s="17" t="s">
        <v>21</v>
      </c>
      <c r="B1" s="16"/>
      <c r="C1" s="16"/>
      <c r="D1" s="16"/>
      <c r="E1" s="16"/>
      <c r="F1" s="16"/>
      <c r="G1" s="16"/>
      <c r="H1" s="16"/>
      <c r="I1" s="16"/>
    </row>
    <row r="2" spans="1:10" ht="14.4">
      <c r="B2" s="8"/>
      <c r="E2" s="8"/>
      <c r="F2" s="8"/>
      <c r="G2" s="8"/>
      <c r="H2" s="8"/>
    </row>
    <row r="3" spans="1:10" ht="15" customHeight="1">
      <c r="B3" s="9" t="s">
        <v>22</v>
      </c>
      <c r="C3" s="10" t="s">
        <v>23</v>
      </c>
      <c r="D3" s="11" t="s">
        <v>24</v>
      </c>
      <c r="F3" s="9" t="s">
        <v>22</v>
      </c>
      <c r="G3" s="10" t="s">
        <v>25</v>
      </c>
      <c r="H3" s="10" t="s">
        <v>26</v>
      </c>
      <c r="I3" s="11" t="s">
        <v>26</v>
      </c>
    </row>
    <row r="4" spans="1:10" ht="14.4">
      <c r="B4" s="12">
        <v>45353</v>
      </c>
      <c r="C4" s="27">
        <v>45385</v>
      </c>
      <c r="D4" s="32">
        <f>C4-B4</f>
        <v>32</v>
      </c>
      <c r="F4" s="12">
        <v>45353</v>
      </c>
      <c r="G4" s="27">
        <f>EOMONTH(F4,0)</f>
        <v>45382</v>
      </c>
      <c r="H4" s="27">
        <f>F4+30</f>
        <v>45383</v>
      </c>
      <c r="I4" s="13">
        <f>F4+30</f>
        <v>45383</v>
      </c>
    </row>
    <row r="5" spans="1:10" ht="15" customHeight="1">
      <c r="B5" s="14"/>
      <c r="C5" s="31"/>
      <c r="D5" s="32"/>
      <c r="F5" s="14"/>
      <c r="G5" s="27"/>
      <c r="H5" s="27"/>
      <c r="I5" s="13"/>
    </row>
    <row r="6" spans="1:10" ht="14.4">
      <c r="B6" s="12">
        <v>45082</v>
      </c>
      <c r="C6" s="27">
        <v>45146</v>
      </c>
      <c r="D6" s="32">
        <f t="shared" ref="D5:D8" si="0">C6-B6</f>
        <v>64</v>
      </c>
      <c r="F6" s="12">
        <v>45082</v>
      </c>
      <c r="G6" s="27">
        <f t="shared" ref="G5:G8" si="1">EOMONTH(F6,0)</f>
        <v>45107</v>
      </c>
      <c r="H6" s="27">
        <f t="shared" ref="H5:H8" si="2">F6+30</f>
        <v>45112</v>
      </c>
      <c r="I6" s="13">
        <f t="shared" ref="I5:I8" si="3">F6+30</f>
        <v>45112</v>
      </c>
    </row>
    <row r="7" spans="1:10" ht="15" customHeight="1">
      <c r="B7" s="14"/>
      <c r="C7" s="31"/>
      <c r="D7" s="32"/>
      <c r="F7" s="14"/>
      <c r="G7" s="27"/>
      <c r="H7" s="27"/>
      <c r="I7" s="13"/>
    </row>
    <row r="8" spans="1:10" ht="15" customHeight="1">
      <c r="B8" s="28">
        <v>44554</v>
      </c>
      <c r="C8" s="29">
        <v>44555</v>
      </c>
      <c r="D8" s="33">
        <f t="shared" si="0"/>
        <v>1</v>
      </c>
      <c r="F8" s="28">
        <v>44554</v>
      </c>
      <c r="G8" s="29">
        <f t="shared" si="1"/>
        <v>44561</v>
      </c>
      <c r="H8" s="29">
        <f t="shared" si="2"/>
        <v>44584</v>
      </c>
      <c r="I8" s="30">
        <f t="shared" si="3"/>
        <v>44584</v>
      </c>
    </row>
    <row r="11" spans="1:10" ht="14.4">
      <c r="B11" s="2"/>
      <c r="C11" s="2"/>
      <c r="D11" s="2"/>
      <c r="G11" s="2"/>
      <c r="H11" s="2"/>
      <c r="I11" s="2"/>
      <c r="J11" s="2"/>
    </row>
    <row r="12" spans="1:10" ht="14.4">
      <c r="B12" s="8"/>
      <c r="C12" s="8"/>
      <c r="G12" s="8"/>
      <c r="H12" s="8"/>
      <c r="I12" s="8"/>
      <c r="J12" s="8"/>
    </row>
    <row r="14" spans="1:10" ht="14.4">
      <c r="B14" s="8"/>
      <c r="C14" s="8"/>
      <c r="G14" s="8"/>
      <c r="H14" s="8"/>
      <c r="I14" s="8"/>
      <c r="J14" s="8"/>
    </row>
    <row r="16" spans="1:10" ht="14.4">
      <c r="B16" s="8"/>
      <c r="C16" s="8"/>
      <c r="G16" s="8"/>
      <c r="H16" s="8"/>
      <c r="I16" s="8"/>
      <c r="J16" s="8"/>
    </row>
    <row r="20" spans="13:21" ht="15" customHeight="1">
      <c r="M20" s="8"/>
      <c r="P20" s="8"/>
      <c r="Q20" s="8"/>
      <c r="R20" s="8"/>
      <c r="S20" s="8"/>
    </row>
    <row r="21" spans="13:21" ht="15.75" customHeight="1"/>
    <row r="22" spans="13:21" ht="15.75" customHeight="1">
      <c r="M22" s="8"/>
    </row>
    <row r="23" spans="13:21" ht="15.75" customHeight="1"/>
    <row r="24" spans="13:21" ht="15.75" customHeight="1">
      <c r="M24" s="8"/>
    </row>
    <row r="25" spans="13:21" ht="15.75" customHeight="1"/>
    <row r="26" spans="13:21" ht="15.75" customHeight="1"/>
    <row r="27" spans="13:21" ht="15.75" customHeight="1"/>
    <row r="28" spans="13:21" ht="15.75" customHeight="1"/>
    <row r="29" spans="13:21" ht="15.75" customHeight="1">
      <c r="M29" s="2"/>
      <c r="N29" s="2"/>
      <c r="O29" s="2"/>
      <c r="R29" s="2"/>
      <c r="S29" s="2"/>
      <c r="T29" s="2"/>
      <c r="U29" s="2"/>
    </row>
    <row r="30" spans="13:21" ht="15.75" customHeight="1">
      <c r="M30" s="8"/>
      <c r="N30" s="8"/>
      <c r="R30" s="8"/>
      <c r="S30" s="8"/>
      <c r="T30" s="8"/>
      <c r="U30" s="8"/>
    </row>
    <row r="31" spans="13:21" ht="15.75" customHeight="1"/>
    <row r="32" spans="13:21" ht="15.75" customHeight="1">
      <c r="M32" s="8"/>
      <c r="N32" s="8"/>
      <c r="R32" s="8"/>
      <c r="S32" s="8"/>
      <c r="T32" s="8"/>
      <c r="U32" s="8"/>
    </row>
    <row r="33" spans="13:21" ht="15.75" customHeight="1"/>
    <row r="34" spans="13:21" ht="15.75" customHeight="1">
      <c r="M34" s="8"/>
      <c r="N34" s="8"/>
      <c r="R34" s="8"/>
      <c r="S34" s="8"/>
      <c r="T34" s="8"/>
      <c r="U34" s="8"/>
    </row>
    <row r="35" spans="13:21" ht="15.75" customHeight="1"/>
    <row r="36" spans="13:21" ht="15.75" customHeight="1"/>
    <row r="37" spans="13:21" ht="15.75" customHeight="1"/>
    <row r="38" spans="13:21" ht="15.75" customHeight="1"/>
    <row r="39" spans="13:21" ht="15.75" customHeight="1"/>
    <row r="40" spans="13:21" ht="15.75" customHeight="1"/>
    <row r="41" spans="13:21" ht="15.75" customHeight="1"/>
    <row r="42" spans="13:21" ht="15.75" customHeight="1"/>
    <row r="43" spans="13:21" ht="15.75" customHeight="1"/>
    <row r="44" spans="13:21" ht="15.75" customHeight="1"/>
    <row r="45" spans="13:21" ht="15.75" customHeight="1"/>
    <row r="46" spans="13:21" ht="15.75" customHeight="1"/>
    <row r="47" spans="13:21" ht="15.75" customHeight="1"/>
    <row r="48" spans="13:2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I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PV &amp; FV</vt:lpstr>
      <vt:lpstr>IRR</vt:lpstr>
      <vt:lpstr>Loan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Tutedude FMV Assignment</dc:title>
  <dc:creator>sayamgudhka24@gmail.com</dc:creator>
  <cp:lastModifiedBy>Utpal Patidar</cp:lastModifiedBy>
  <dcterms:created xsi:type="dcterms:W3CDTF">2024-08-08T06:07:14Z</dcterms:created>
  <dcterms:modified xsi:type="dcterms:W3CDTF">2026-02-27T09:31:11Z</dcterms:modified>
</cp:coreProperties>
</file>